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Рабочий стол\nurdau\ACADEMICA\Финальный проект\Excel\"/>
    </mc:Choice>
  </mc:AlternateContent>
  <xr:revisionPtr revIDLastSave="0" documentId="8_{708757FB-09AF-4D20-937F-8C8CE0FF1281}" xr6:coauthVersionLast="47" xr6:coauthVersionMax="47" xr10:uidLastSave="{00000000-0000-0000-0000-000000000000}"/>
  <bookViews>
    <workbookView xWindow="-108" yWindow="-108" windowWidth="23256" windowHeight="12816" firstSheet="1" activeTab="6" xr2:uid="{00000000-000D-0000-FFFF-FFFF00000000}"/>
  </bookViews>
  <sheets>
    <sheet name="Лист1" sheetId="1" r:id="rId1"/>
    <sheet name="Таблица1" sheetId="3" r:id="rId2"/>
    <sheet name="Лист2" sheetId="2" r:id="rId3"/>
    <sheet name="Таблица2" sheetId="4" r:id="rId4"/>
    <sheet name="Слияние1" sheetId="5" r:id="rId5"/>
    <sheet name="Неделя и Территория" sheetId="6" r:id="rId6"/>
    <sheet name="Понедельная динамика" sheetId="7" r:id="rId7"/>
  </sheets>
  <definedNames>
    <definedName name="ExternalData_1" localSheetId="1" hidden="1">Таблица1!$A$1:$I$505</definedName>
    <definedName name="ExternalData_1" localSheetId="3" hidden="1">Таблица2!$A$1:$E$505</definedName>
    <definedName name="ExternalData_2" localSheetId="4" hidden="1">Слияние1!$A$1:$I$505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H2" i="5" l="1" a="1"/>
  <c r="H2" i="5" s="1"/>
  <c r="H3" i="5" a="1"/>
  <c r="H3" i="5"/>
  <c r="H4" i="5" a="1"/>
  <c r="H4" i="5"/>
  <c r="H5" i="5" a="1"/>
  <c r="H5" i="5"/>
  <c r="H6" i="5" a="1"/>
  <c r="H6" i="5"/>
  <c r="H7" i="5" a="1"/>
  <c r="H7" i="5"/>
  <c r="H8" i="5" a="1"/>
  <c r="H8" i="5"/>
  <c r="H9" i="5" a="1"/>
  <c r="H9" i="5"/>
  <c r="H10" i="5" a="1"/>
  <c r="H10" i="5"/>
  <c r="H11" i="5" a="1"/>
  <c r="H11" i="5"/>
  <c r="H12" i="5" a="1"/>
  <c r="H12" i="5"/>
  <c r="H13" i="5" a="1"/>
  <c r="H13" i="5"/>
  <c r="H14" i="5" a="1"/>
  <c r="H14" i="5"/>
  <c r="H15" i="5" a="1"/>
  <c r="H15" i="5"/>
  <c r="H16" i="5" a="1"/>
  <c r="H16" i="5"/>
  <c r="H17" i="5" a="1"/>
  <c r="H17" i="5"/>
  <c r="H18" i="5" a="1"/>
  <c r="H18" i="5"/>
  <c r="H19" i="5" a="1"/>
  <c r="H19" i="5"/>
  <c r="H20" i="5" a="1"/>
  <c r="H20" i="5"/>
  <c r="H21" i="5" a="1"/>
  <c r="H21" i="5"/>
  <c r="H22" i="5" a="1"/>
  <c r="H22" i="5"/>
  <c r="H23" i="5" a="1"/>
  <c r="H23" i="5"/>
  <c r="H24" i="5" a="1"/>
  <c r="H24" i="5"/>
  <c r="H25" i="5" a="1"/>
  <c r="H25" i="5" s="1"/>
  <c r="H26" i="5" a="1"/>
  <c r="H26" i="5"/>
  <c r="H27" i="5" a="1"/>
  <c r="H27" i="5" s="1"/>
  <c r="H28" i="5" a="1"/>
  <c r="H28" i="5"/>
  <c r="H29" i="5" a="1"/>
  <c r="H29" i="5" s="1"/>
  <c r="H30" i="5" a="1"/>
  <c r="H30" i="5" s="1"/>
  <c r="H31" i="5" a="1"/>
  <c r="H31" i="5" s="1"/>
  <c r="H32" i="5" a="1"/>
  <c r="H32" i="5"/>
  <c r="H33" i="5" a="1"/>
  <c r="H33" i="5" s="1"/>
  <c r="H34" i="5" a="1"/>
  <c r="H34" i="5"/>
  <c r="H35" i="5" a="1"/>
  <c r="H35" i="5" s="1"/>
  <c r="H36" i="5" a="1"/>
  <c r="H36" i="5"/>
  <c r="H37" i="5" a="1"/>
  <c r="H37" i="5" s="1"/>
  <c r="H38" i="5" a="1"/>
  <c r="H38" i="5" s="1"/>
  <c r="H39" i="5" a="1"/>
  <c r="H39" i="5" s="1"/>
  <c r="H40" i="5" a="1"/>
  <c r="H40" i="5"/>
  <c r="H41" i="5" a="1"/>
  <c r="H41" i="5" s="1"/>
  <c r="H42" i="5" a="1"/>
  <c r="H42" i="5"/>
  <c r="H43" i="5" a="1"/>
  <c r="H43" i="5" s="1"/>
  <c r="H44" i="5" a="1"/>
  <c r="H44" i="5"/>
  <c r="H45" i="5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/>
  <c r="H51" i="5" a="1"/>
  <c r="H51" i="5" s="1"/>
  <c r="H52" i="5" a="1"/>
  <c r="H52" i="5"/>
  <c r="H53" i="5" a="1"/>
  <c r="H53" i="5" s="1"/>
  <c r="H54" i="5" a="1"/>
  <c r="H54" i="5" s="1"/>
  <c r="H55" i="5" a="1"/>
  <c r="H55" i="5" s="1"/>
  <c r="H56" i="5" a="1"/>
  <c r="H56" i="5"/>
  <c r="H57" i="5" a="1"/>
  <c r="H57" i="5" s="1"/>
  <c r="H58" i="5" a="1"/>
  <c r="H58" i="5"/>
  <c r="H59" i="5" a="1"/>
  <c r="H59" i="5" s="1"/>
  <c r="H60" i="5" a="1"/>
  <c r="H60" i="5"/>
  <c r="H61" i="5" a="1"/>
  <c r="H61" i="5" s="1"/>
  <c r="H62" i="5" a="1"/>
  <c r="H62" i="5" s="1"/>
  <c r="H63" i="5" a="1"/>
  <c r="H63" i="5" s="1"/>
  <c r="H64" i="5" a="1"/>
  <c r="H64" i="5" s="1"/>
  <c r="H65" i="5" a="1"/>
  <c r="H65" i="5" s="1"/>
  <c r="H66" i="5" a="1"/>
  <c r="H66" i="5"/>
  <c r="H67" i="5" a="1"/>
  <c r="H67" i="5" s="1"/>
  <c r="H68" i="5" a="1"/>
  <c r="H68" i="5"/>
  <c r="H69" i="5" a="1"/>
  <c r="H69" i="5" s="1"/>
  <c r="H70" i="5" a="1"/>
  <c r="H70" i="5" s="1"/>
  <c r="H71" i="5" a="1"/>
  <c r="H71" i="5" s="1"/>
  <c r="H72" i="5" a="1"/>
  <c r="H72" i="5"/>
  <c r="H73" i="5" a="1"/>
  <c r="H73" i="5" s="1"/>
  <c r="H74" i="5" a="1"/>
  <c r="H74" i="5"/>
  <c r="H75" i="5" a="1"/>
  <c r="H75" i="5" s="1"/>
  <c r="H76" i="5" a="1"/>
  <c r="H76" i="5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82" i="5" a="1"/>
  <c r="H82" i="5"/>
  <c r="H83" i="5" a="1"/>
  <c r="H83" i="5" s="1"/>
  <c r="H84" i="5" a="1"/>
  <c r="H84" i="5"/>
  <c r="H85" i="5" a="1"/>
  <c r="H85" i="5" s="1"/>
  <c r="H86" i="5" a="1"/>
  <c r="H86" i="5" s="1"/>
  <c r="H87" i="5" a="1"/>
  <c r="H87" i="5" s="1"/>
  <c r="H88" i="5" a="1"/>
  <c r="H88" i="5"/>
  <c r="H89" i="5" a="1"/>
  <c r="H89" i="5" s="1"/>
  <c r="H90" i="5" a="1"/>
  <c r="H90" i="5"/>
  <c r="H91" i="5" a="1"/>
  <c r="H91" i="5" s="1"/>
  <c r="H92" i="5" a="1"/>
  <c r="H92" i="5"/>
  <c r="H93" i="5" a="1"/>
  <c r="H93" i="5" s="1"/>
  <c r="H94" i="5" a="1"/>
  <c r="H94" i="5" s="1"/>
  <c r="H95" i="5" a="1"/>
  <c r="H95" i="5" s="1"/>
  <c r="H96" i="5" a="1"/>
  <c r="H96" i="5"/>
  <c r="H97" i="5" a="1"/>
  <c r="H97" i="5" s="1"/>
  <c r="H98" i="5" a="1"/>
  <c r="H98" i="5"/>
  <c r="H99" i="5" a="1"/>
  <c r="H99" i="5" s="1"/>
  <c r="H100" i="5" a="1"/>
  <c r="H100" i="5"/>
  <c r="H101" i="5" a="1"/>
  <c r="H101" i="5" s="1"/>
  <c r="H102" i="5" a="1"/>
  <c r="H102" i="5" s="1"/>
  <c r="H103" i="5" a="1"/>
  <c r="H103" i="5" s="1"/>
  <c r="H104" i="5" a="1"/>
  <c r="H104" i="5" s="1"/>
  <c r="H105" i="5" a="1"/>
  <c r="H105" i="5" s="1"/>
  <c r="H106" i="5" a="1"/>
  <c r="H106" i="5"/>
  <c r="H107" i="5" a="1"/>
  <c r="H107" i="5" s="1"/>
  <c r="H108" i="5" a="1"/>
  <c r="H108" i="5"/>
  <c r="H109" i="5" a="1"/>
  <c r="H109" i="5" s="1"/>
  <c r="H110" i="5" a="1"/>
  <c r="H110" i="5" s="1"/>
  <c r="H111" i="5" a="1"/>
  <c r="H111" i="5" s="1"/>
  <c r="H112" i="5" a="1"/>
  <c r="H112" i="5" s="1"/>
  <c r="H113" i="5" a="1"/>
  <c r="H113" i="5" s="1"/>
  <c r="H114" i="5" a="1"/>
  <c r="H114" i="5"/>
  <c r="H115" i="5" a="1"/>
  <c r="H115" i="5" s="1"/>
  <c r="H116" i="5" a="1"/>
  <c r="H116" i="5"/>
  <c r="H117" i="5" a="1"/>
  <c r="H117" i="5" s="1"/>
  <c r="H118" i="5" a="1"/>
  <c r="H118" i="5" s="1"/>
  <c r="H119" i="5" a="1"/>
  <c r="H119" i="5" s="1"/>
  <c r="H120" i="5" a="1"/>
  <c r="H120" i="5"/>
  <c r="H121" i="5" a="1"/>
  <c r="H121" i="5" s="1"/>
  <c r="H122" i="5" a="1"/>
  <c r="H122" i="5"/>
  <c r="H123" i="5" a="1"/>
  <c r="H123" i="5" s="1"/>
  <c r="H124" i="5" a="1"/>
  <c r="H124" i="5"/>
  <c r="H125" i="5" a="1"/>
  <c r="H125" i="5" s="1"/>
  <c r="H126" i="5" a="1"/>
  <c r="H126" i="5" s="1"/>
  <c r="H127" i="5" a="1"/>
  <c r="H127" i="5" s="1"/>
  <c r="H128" i="5" a="1"/>
  <c r="H128" i="5"/>
  <c r="H129" i="5" a="1"/>
  <c r="H129" i="5" s="1"/>
  <c r="H130" i="5" a="1"/>
  <c r="H130" i="5"/>
  <c r="H131" i="5" a="1"/>
  <c r="H131" i="5" s="1"/>
  <c r="H132" i="5" a="1"/>
  <c r="H132" i="5"/>
  <c r="H133" i="5" a="1"/>
  <c r="H133" i="5" s="1"/>
  <c r="H134" i="5" a="1"/>
  <c r="H134" i="5" s="1"/>
  <c r="H135" i="5" a="1"/>
  <c r="H135" i="5" s="1"/>
  <c r="H136" i="5" a="1"/>
  <c r="H136" i="5" s="1"/>
  <c r="H137" i="5" a="1"/>
  <c r="H137" i="5" s="1"/>
  <c r="H138" i="5" a="1"/>
  <c r="H138" i="5"/>
  <c r="H139" i="5" a="1"/>
  <c r="H139" i="5" s="1"/>
  <c r="H140" i="5" a="1"/>
  <c r="H140" i="5"/>
  <c r="H141" i="5" a="1"/>
  <c r="H141" i="5" s="1"/>
  <c r="H142" i="5" a="1"/>
  <c r="H142" i="5" s="1"/>
  <c r="H143" i="5" a="1"/>
  <c r="H143" i="5" s="1"/>
  <c r="H144" i="5" a="1"/>
  <c r="H144" i="5" s="1"/>
  <c r="H145" i="5" a="1"/>
  <c r="H145" i="5" s="1"/>
  <c r="H146" i="5" a="1"/>
  <c r="H146" i="5"/>
  <c r="H147" i="5" a="1"/>
  <c r="H147" i="5" s="1"/>
  <c r="H148" i="5" a="1"/>
  <c r="H148" i="5"/>
  <c r="H149" i="5" a="1"/>
  <c r="H149" i="5" s="1"/>
  <c r="H150" i="5" a="1"/>
  <c r="H150" i="5" s="1"/>
  <c r="H151" i="5" a="1"/>
  <c r="H151" i="5" s="1"/>
  <c r="H152" i="5" a="1"/>
  <c r="H152" i="5"/>
  <c r="H153" i="5" a="1"/>
  <c r="H153" i="5" s="1"/>
  <c r="H154" i="5" a="1"/>
  <c r="H154" i="5"/>
  <c r="H155" i="5" a="1"/>
  <c r="H155" i="5" s="1"/>
  <c r="H156" i="5" a="1"/>
  <c r="H156" i="5"/>
  <c r="H157" i="5" a="1"/>
  <c r="H157" i="5" s="1"/>
  <c r="H158" i="5" a="1"/>
  <c r="H158" i="5" s="1"/>
  <c r="H159" i="5" a="1"/>
  <c r="H159" i="5" s="1"/>
  <c r="H160" i="5" a="1"/>
  <c r="H160" i="5"/>
  <c r="H161" i="5" a="1"/>
  <c r="H161" i="5" s="1"/>
  <c r="H162" i="5" a="1"/>
  <c r="H162" i="5"/>
  <c r="H163" i="5" a="1"/>
  <c r="H163" i="5" s="1"/>
  <c r="H164" i="5" a="1"/>
  <c r="H164" i="5"/>
  <c r="H165" i="5" a="1"/>
  <c r="H165" i="5" s="1"/>
  <c r="H166" i="5" a="1"/>
  <c r="H166" i="5" s="1"/>
  <c r="H167" i="5" a="1"/>
  <c r="H167" i="5" s="1"/>
  <c r="H168" i="5" a="1"/>
  <c r="H168" i="5" s="1"/>
  <c r="H169" i="5" a="1"/>
  <c r="H169" i="5" s="1"/>
  <c r="H170" i="5" a="1"/>
  <c r="H170" i="5"/>
  <c r="H171" i="5" a="1"/>
  <c r="H171" i="5" s="1"/>
  <c r="H172" i="5" a="1"/>
  <c r="H172" i="5"/>
  <c r="H173" i="5" a="1"/>
  <c r="H173" i="5" s="1"/>
  <c r="H174" i="5" a="1"/>
  <c r="H174" i="5" s="1"/>
  <c r="H175" i="5" a="1"/>
  <c r="H175" i="5" s="1"/>
  <c r="H176" i="5" a="1"/>
  <c r="H176" i="5" s="1"/>
  <c r="H177" i="5" a="1"/>
  <c r="H177" i="5" s="1"/>
  <c r="H178" i="5" a="1"/>
  <c r="H178" i="5"/>
  <c r="H179" i="5" a="1"/>
  <c r="H179" i="5" s="1"/>
  <c r="H180" i="5" a="1"/>
  <c r="H180" i="5"/>
  <c r="H181" i="5" a="1"/>
  <c r="H181" i="5" s="1"/>
  <c r="H182" i="5" a="1"/>
  <c r="H182" i="5" s="1"/>
  <c r="H183" i="5" a="1"/>
  <c r="H183" i="5" s="1"/>
  <c r="H184" i="5" a="1"/>
  <c r="H184" i="5"/>
  <c r="H185" i="5" a="1"/>
  <c r="H185" i="5" s="1"/>
  <c r="H186" i="5" a="1"/>
  <c r="H186" i="5"/>
  <c r="H187" i="5" a="1"/>
  <c r="H187" i="5" s="1"/>
  <c r="H188" i="5" a="1"/>
  <c r="H188" i="5"/>
  <c r="H189" i="5" a="1"/>
  <c r="H189" i="5" s="1"/>
  <c r="H190" i="5" a="1"/>
  <c r="H190" i="5" s="1"/>
  <c r="H191" i="5" a="1"/>
  <c r="H191" i="5" s="1"/>
  <c r="H192" i="5" a="1"/>
  <c r="H192" i="5"/>
  <c r="H193" i="5" a="1"/>
  <c r="H193" i="5" s="1"/>
  <c r="H194" i="5" a="1"/>
  <c r="H194" i="5"/>
  <c r="H195" i="5" a="1"/>
  <c r="H195" i="5" s="1"/>
  <c r="H196" i="5" a="1"/>
  <c r="H196" i="5"/>
  <c r="H197" i="5" a="1"/>
  <c r="H197" i="5" s="1"/>
  <c r="H198" i="5" a="1"/>
  <c r="H198" i="5"/>
  <c r="H199" i="5" a="1"/>
  <c r="H199" i="5" s="1"/>
  <c r="H200" i="5" a="1"/>
  <c r="H200" i="5"/>
  <c r="H201" i="5" a="1"/>
  <c r="H201" i="5" s="1"/>
  <c r="H202" i="5" a="1"/>
  <c r="H202" i="5" s="1"/>
  <c r="H203" i="5" a="1"/>
  <c r="H203" i="5" s="1"/>
  <c r="H204" i="5" a="1"/>
  <c r="H204" i="5" s="1"/>
  <c r="H205" i="5" a="1"/>
  <c r="H205" i="5" s="1"/>
  <c r="H206" i="5" a="1"/>
  <c r="H206" i="5"/>
  <c r="H207" i="5" a="1"/>
  <c r="H207" i="5" s="1"/>
  <c r="H208" i="5" a="1"/>
  <c r="H208" i="5"/>
  <c r="H209" i="5" a="1"/>
  <c r="H209" i="5" s="1"/>
  <c r="H210" i="5" a="1"/>
  <c r="H210" i="5" s="1"/>
  <c r="H211" i="5" a="1"/>
  <c r="H211" i="5" s="1"/>
  <c r="H212" i="5" a="1"/>
  <c r="H212" i="5" s="1"/>
  <c r="H213" i="5" a="1"/>
  <c r="H213" i="5" s="1"/>
  <c r="H214" i="5" a="1"/>
  <c r="H214" i="5"/>
  <c r="H215" i="5" a="1"/>
  <c r="H215" i="5" s="1"/>
  <c r="H216" i="5" a="1"/>
  <c r="H216" i="5"/>
  <c r="H217" i="5" a="1"/>
  <c r="H217" i="5" s="1"/>
  <c r="H218" i="5" a="1"/>
  <c r="H218" i="5" s="1"/>
  <c r="H219" i="5" a="1"/>
  <c r="H219" i="5" s="1"/>
  <c r="H220" i="5" a="1"/>
  <c r="H220" i="5" s="1"/>
  <c r="H221" i="5" a="1"/>
  <c r="H221" i="5" s="1"/>
  <c r="H222" i="5" a="1"/>
  <c r="H222" i="5"/>
  <c r="H223" i="5" a="1"/>
  <c r="H223" i="5" s="1"/>
  <c r="H224" i="5" a="1"/>
  <c r="H224" i="5"/>
  <c r="H225" i="5" a="1"/>
  <c r="H225" i="5" s="1"/>
  <c r="H226" i="5" a="1"/>
  <c r="H226" i="5" s="1"/>
  <c r="H227" i="5" a="1"/>
  <c r="H227" i="5" s="1"/>
  <c r="H228" i="5" a="1"/>
  <c r="H228" i="5" s="1"/>
  <c r="H229" i="5" a="1"/>
  <c r="H229" i="5" s="1"/>
  <c r="H230" i="5" a="1"/>
  <c r="H230" i="5"/>
  <c r="H231" i="5" a="1"/>
  <c r="H231" i="5" s="1"/>
  <c r="H232" i="5" a="1"/>
  <c r="H232" i="5"/>
  <c r="H233" i="5" a="1"/>
  <c r="H233" i="5" s="1"/>
  <c r="H234" i="5" a="1"/>
  <c r="H234" i="5" s="1"/>
  <c r="H235" i="5" a="1"/>
  <c r="H235" i="5" s="1"/>
  <c r="H236" i="5" a="1"/>
  <c r="H236" i="5" s="1"/>
  <c r="H237" i="5" a="1"/>
  <c r="H237" i="5" s="1"/>
  <c r="H238" i="5" a="1"/>
  <c r="H238" i="5"/>
  <c r="H239" i="5" a="1"/>
  <c r="H239" i="5" s="1"/>
  <c r="H240" i="5" a="1"/>
  <c r="H240" i="5"/>
  <c r="H241" i="5" a="1"/>
  <c r="H241" i="5" s="1"/>
  <c r="H242" i="5" a="1"/>
  <c r="H242" i="5" s="1"/>
  <c r="H243" i="5" a="1"/>
  <c r="H243" i="5" s="1"/>
  <c r="H244" i="5" a="1"/>
  <c r="H244" i="5" s="1"/>
  <c r="H245" i="5" a="1"/>
  <c r="H245" i="5" s="1"/>
  <c r="H246" i="5" a="1"/>
  <c r="H246" i="5"/>
  <c r="H247" i="5" a="1"/>
  <c r="H247" i="5" s="1"/>
  <c r="H248" i="5" a="1"/>
  <c r="H248" i="5"/>
  <c r="H249" i="5" a="1"/>
  <c r="H249" i="5" s="1"/>
  <c r="H250" i="5" a="1"/>
  <c r="H250" i="5" s="1"/>
  <c r="H251" i="5" a="1"/>
  <c r="H251" i="5" s="1"/>
  <c r="H252" i="5" a="1"/>
  <c r="H252" i="5" s="1"/>
  <c r="H253" i="5" a="1"/>
  <c r="H253" i="5" s="1"/>
  <c r="H254" i="5" a="1"/>
  <c r="H254" i="5"/>
  <c r="H255" i="5" a="1"/>
  <c r="H255" i="5" s="1"/>
  <c r="H256" i="5" a="1"/>
  <c r="H256" i="5"/>
  <c r="H257" i="5" a="1"/>
  <c r="H257" i="5" s="1"/>
  <c r="H258" i="5" a="1"/>
  <c r="H258" i="5" s="1"/>
  <c r="H259" i="5" a="1"/>
  <c r="H259" i="5" s="1"/>
  <c r="H260" i="5" a="1"/>
  <c r="H260" i="5" s="1"/>
  <c r="H261" i="5" a="1"/>
  <c r="H261" i="5" s="1"/>
  <c r="H262" i="5" a="1"/>
  <c r="H262" i="5"/>
  <c r="H263" i="5" a="1"/>
  <c r="H263" i="5" s="1"/>
  <c r="H264" i="5" a="1"/>
  <c r="H264" i="5"/>
  <c r="H265" i="5" a="1"/>
  <c r="H265" i="5" s="1"/>
  <c r="H266" i="5" a="1"/>
  <c r="H266" i="5" s="1"/>
  <c r="H267" i="5" a="1"/>
  <c r="H267" i="5" s="1"/>
  <c r="H268" i="5" a="1"/>
  <c r="H268" i="5" s="1"/>
  <c r="H269" i="5" a="1"/>
  <c r="H269" i="5" s="1"/>
  <c r="H270" i="5" a="1"/>
  <c r="H270" i="5"/>
  <c r="H271" i="5" a="1"/>
  <c r="H271" i="5" s="1"/>
  <c r="H272" i="5" a="1"/>
  <c r="H272" i="5"/>
  <c r="H273" i="5" a="1"/>
  <c r="H273" i="5" s="1"/>
  <c r="H274" i="5" a="1"/>
  <c r="H274" i="5" s="1"/>
  <c r="H275" i="5" a="1"/>
  <c r="H275" i="5" s="1"/>
  <c r="H276" i="5" a="1"/>
  <c r="H276" i="5" s="1"/>
  <c r="H277" i="5" a="1"/>
  <c r="H277" i="5" s="1"/>
  <c r="H278" i="5" a="1"/>
  <c r="H278" i="5"/>
  <c r="H279" i="5" a="1"/>
  <c r="H279" i="5" s="1"/>
  <c r="H280" i="5" a="1"/>
  <c r="H280" i="5"/>
  <c r="H281" i="5" a="1"/>
  <c r="H281" i="5" s="1"/>
  <c r="H282" i="5" a="1"/>
  <c r="H282" i="5" s="1"/>
  <c r="H283" i="5" a="1"/>
  <c r="H283" i="5" s="1"/>
  <c r="H284" i="5" a="1"/>
  <c r="H284" i="5" s="1"/>
  <c r="H285" i="5" a="1"/>
  <c r="H285" i="5" s="1"/>
  <c r="H286" i="5" a="1"/>
  <c r="H286" i="5"/>
  <c r="H287" i="5" a="1"/>
  <c r="H287" i="5" s="1"/>
  <c r="H288" i="5" a="1"/>
  <c r="H288" i="5"/>
  <c r="H289" i="5" a="1"/>
  <c r="H289" i="5" s="1"/>
  <c r="H290" i="5" a="1"/>
  <c r="H290" i="5" s="1"/>
  <c r="H291" i="5" a="1"/>
  <c r="H291" i="5" s="1"/>
  <c r="H292" i="5" a="1"/>
  <c r="H292" i="5" s="1"/>
  <c r="H293" i="5" a="1"/>
  <c r="H293" i="5" s="1"/>
  <c r="H294" i="5" a="1"/>
  <c r="H294" i="5"/>
  <c r="H295" i="5" a="1"/>
  <c r="H295" i="5" s="1"/>
  <c r="H296" i="5" a="1"/>
  <c r="H296" i="5"/>
  <c r="H297" i="5" a="1"/>
  <c r="H297" i="5" s="1"/>
  <c r="H298" i="5" a="1"/>
  <c r="H298" i="5" s="1"/>
  <c r="H299" i="5" a="1"/>
  <c r="H299" i="5" s="1"/>
  <c r="H300" i="5" a="1"/>
  <c r="H300" i="5" s="1"/>
  <c r="H301" i="5" a="1"/>
  <c r="H301" i="5" s="1"/>
  <c r="H302" i="5" a="1"/>
  <c r="H302" i="5"/>
  <c r="H303" i="5" a="1"/>
  <c r="H303" i="5" s="1"/>
  <c r="H304" i="5" a="1"/>
  <c r="H304" i="5"/>
  <c r="H305" i="5" a="1"/>
  <c r="H305" i="5" s="1"/>
  <c r="H306" i="5" a="1"/>
  <c r="H306" i="5" s="1"/>
  <c r="H307" i="5" a="1"/>
  <c r="H307" i="5" s="1"/>
  <c r="H308" i="5" a="1"/>
  <c r="H308" i="5" s="1"/>
  <c r="H309" i="5" a="1"/>
  <c r="H309" i="5" s="1"/>
  <c r="H310" i="5" a="1"/>
  <c r="H310" i="5"/>
  <c r="H311" i="5" a="1"/>
  <c r="H311" i="5" s="1"/>
  <c r="H312" i="5" a="1"/>
  <c r="H312" i="5"/>
  <c r="H313" i="5" a="1"/>
  <c r="H313" i="5" s="1"/>
  <c r="H314" i="5" a="1"/>
  <c r="H314" i="5" s="1"/>
  <c r="H315" i="5" a="1"/>
  <c r="H315" i="5" s="1"/>
  <c r="H316" i="5" a="1"/>
  <c r="H316" i="5" s="1"/>
  <c r="H317" i="5" a="1"/>
  <c r="H317" i="5" s="1"/>
  <c r="H318" i="5" a="1"/>
  <c r="H318" i="5"/>
  <c r="H319" i="5" a="1"/>
  <c r="H319" i="5" s="1"/>
  <c r="H320" i="5" a="1"/>
  <c r="H320" i="5"/>
  <c r="H321" i="5" a="1"/>
  <c r="H321" i="5" s="1"/>
  <c r="H322" i="5" a="1"/>
  <c r="H322" i="5" s="1"/>
  <c r="H323" i="5" a="1"/>
  <c r="H323" i="5"/>
  <c r="H324" i="5" a="1"/>
  <c r="H324" i="5" s="1"/>
  <c r="H325" i="5" a="1"/>
  <c r="H325" i="5"/>
  <c r="H326" i="5" a="1"/>
  <c r="H326" i="5" s="1"/>
  <c r="H327" i="5" a="1"/>
  <c r="H327" i="5"/>
  <c r="H328" i="5" a="1"/>
  <c r="H328" i="5" s="1"/>
  <c r="H329" i="5" a="1"/>
  <c r="H329" i="5"/>
  <c r="H330" i="5" a="1"/>
  <c r="H330" i="5" s="1"/>
  <c r="H331" i="5" a="1"/>
  <c r="H331" i="5"/>
  <c r="H332" i="5" a="1"/>
  <c r="H332" i="5" s="1"/>
  <c r="H333" i="5" a="1"/>
  <c r="H333" i="5"/>
  <c r="H334" i="5" a="1"/>
  <c r="H334" i="5" s="1"/>
  <c r="H335" i="5" a="1"/>
  <c r="H335" i="5"/>
  <c r="H336" i="5" a="1"/>
  <c r="H336" i="5" s="1"/>
  <c r="H337" i="5" a="1"/>
  <c r="H337" i="5"/>
  <c r="H338" i="5" a="1"/>
  <c r="H338" i="5" s="1"/>
  <c r="H339" i="5" a="1"/>
  <c r="H339" i="5"/>
  <c r="H340" i="5" a="1"/>
  <c r="H340" i="5" s="1"/>
  <c r="H341" i="5" a="1"/>
  <c r="H341" i="5"/>
  <c r="H342" i="5" a="1"/>
  <c r="H342" i="5" s="1"/>
  <c r="H343" i="5" a="1"/>
  <c r="H343" i="5"/>
  <c r="H344" i="5" a="1"/>
  <c r="H344" i="5" s="1"/>
  <c r="H345" i="5" a="1"/>
  <c r="H345" i="5"/>
  <c r="H346" i="5" a="1"/>
  <c r="H346" i="5" s="1"/>
  <c r="H347" i="5" a="1"/>
  <c r="H347" i="5"/>
  <c r="H348" i="5" a="1"/>
  <c r="H348" i="5" s="1"/>
  <c r="H349" i="5" a="1"/>
  <c r="H349" i="5"/>
  <c r="H350" i="5" a="1"/>
  <c r="H350" i="5" s="1"/>
  <c r="H351" i="5" a="1"/>
  <c r="H351" i="5"/>
  <c r="H352" i="5" a="1"/>
  <c r="H352" i="5" s="1"/>
  <c r="H353" i="5" a="1"/>
  <c r="H353" i="5"/>
  <c r="H354" i="5" a="1"/>
  <c r="H354" i="5" s="1"/>
  <c r="H355" i="5" a="1"/>
  <c r="H355" i="5"/>
  <c r="H356" i="5" a="1"/>
  <c r="H356" i="5" s="1"/>
  <c r="H357" i="5" a="1"/>
  <c r="H357" i="5"/>
  <c r="H358" i="5" a="1"/>
  <c r="H358" i="5" s="1"/>
  <c r="H359" i="5" a="1"/>
  <c r="H359" i="5"/>
  <c r="H360" i="5" a="1"/>
  <c r="H360" i="5" s="1"/>
  <c r="H361" i="5" a="1"/>
  <c r="H361" i="5"/>
  <c r="H362" i="5" a="1"/>
  <c r="H362" i="5" s="1"/>
  <c r="H363" i="5" a="1"/>
  <c r="H363" i="5"/>
  <c r="H364" i="5" a="1"/>
  <c r="H364" i="5" s="1"/>
  <c r="H365" i="5" a="1"/>
  <c r="H365" i="5"/>
  <c r="H366" i="5" a="1"/>
  <c r="H366" i="5" s="1"/>
  <c r="H367" i="5" a="1"/>
  <c r="H367" i="5"/>
  <c r="H368" i="5" a="1"/>
  <c r="H368" i="5" s="1"/>
  <c r="H369" i="5" a="1"/>
  <c r="H369" i="5"/>
  <c r="H370" i="5" a="1"/>
  <c r="H370" i="5" s="1"/>
  <c r="H371" i="5" a="1"/>
  <c r="H371" i="5"/>
  <c r="H372" i="5" a="1"/>
  <c r="H372" i="5" s="1"/>
  <c r="H373" i="5" a="1"/>
  <c r="H373" i="5"/>
  <c r="H374" i="5" a="1"/>
  <c r="H374" i="5" s="1"/>
  <c r="H375" i="5" a="1"/>
  <c r="H375" i="5"/>
  <c r="H376" i="5" a="1"/>
  <c r="H376" i="5" s="1"/>
  <c r="H377" i="5" a="1"/>
  <c r="H377" i="5"/>
  <c r="H378" i="5" a="1"/>
  <c r="H378" i="5" s="1"/>
  <c r="H379" i="5" a="1"/>
  <c r="H379" i="5"/>
  <c r="H380" i="5" a="1"/>
  <c r="H380" i="5" s="1"/>
  <c r="H381" i="5" a="1"/>
  <c r="H381" i="5"/>
  <c r="H382" i="5" a="1"/>
  <c r="H382" i="5" s="1"/>
  <c r="H383" i="5" a="1"/>
  <c r="H383" i="5"/>
  <c r="H384" i="5" a="1"/>
  <c r="H384" i="5" s="1"/>
  <c r="H385" i="5" a="1"/>
  <c r="H385" i="5"/>
  <c r="H386" i="5" a="1"/>
  <c r="H386" i="5" s="1"/>
  <c r="H387" i="5" a="1"/>
  <c r="H387" i="5"/>
  <c r="H388" i="5" a="1"/>
  <c r="H388" i="5" s="1"/>
  <c r="H389" i="5" a="1"/>
  <c r="H389" i="5"/>
  <c r="H390" i="5" a="1"/>
  <c r="H390" i="5" s="1"/>
  <c r="H391" i="5" a="1"/>
  <c r="H391" i="5"/>
  <c r="H392" i="5" a="1"/>
  <c r="H392" i="5" s="1"/>
  <c r="H393" i="5" a="1"/>
  <c r="H393" i="5"/>
  <c r="H394" i="5" a="1"/>
  <c r="H394" i="5" s="1"/>
  <c r="H395" i="5" a="1"/>
  <c r="H395" i="5"/>
  <c r="H396" i="5" a="1"/>
  <c r="H396" i="5" s="1"/>
  <c r="H397" i="5" a="1"/>
  <c r="H397" i="5"/>
  <c r="H398" i="5" a="1"/>
  <c r="H398" i="5" s="1"/>
  <c r="H399" i="5" a="1"/>
  <c r="H399" i="5"/>
  <c r="H400" i="5" a="1"/>
  <c r="H400" i="5" s="1"/>
  <c r="H401" i="5" a="1"/>
  <c r="H401" i="5"/>
  <c r="H402" i="5" a="1"/>
  <c r="H402" i="5" s="1"/>
  <c r="H403" i="5" a="1"/>
  <c r="H403" i="5"/>
  <c r="H404" i="5" a="1"/>
  <c r="H404" i="5" s="1"/>
  <c r="H405" i="5" a="1"/>
  <c r="H405" i="5"/>
  <c r="H406" i="5" a="1"/>
  <c r="H406" i="5" s="1"/>
  <c r="H407" i="5" a="1"/>
  <c r="H407" i="5"/>
  <c r="H408" i="5" a="1"/>
  <c r="H408" i="5" s="1"/>
  <c r="H409" i="5" a="1"/>
  <c r="H409" i="5"/>
  <c r="H410" i="5" a="1"/>
  <c r="H410" i="5" s="1"/>
  <c r="H411" i="5" a="1"/>
  <c r="H411" i="5"/>
  <c r="H412" i="5" a="1"/>
  <c r="H412" i="5" s="1"/>
  <c r="H413" i="5" a="1"/>
  <c r="H413" i="5"/>
  <c r="H414" i="5" a="1"/>
  <c r="H414" i="5" s="1"/>
  <c r="H415" i="5" a="1"/>
  <c r="H415" i="5"/>
  <c r="H416" i="5" a="1"/>
  <c r="H416" i="5" s="1"/>
  <c r="H417" i="5" a="1"/>
  <c r="H417" i="5"/>
  <c r="H418" i="5" a="1"/>
  <c r="H418" i="5" s="1"/>
  <c r="H419" i="5" a="1"/>
  <c r="H419" i="5" s="1"/>
  <c r="H420" i="5" a="1"/>
  <c r="H420" i="5" s="1"/>
  <c r="H421" i="5" a="1"/>
  <c r="H421" i="5"/>
  <c r="H422" i="5" a="1"/>
  <c r="H422" i="5" s="1"/>
  <c r="H423" i="5" a="1"/>
  <c r="H423" i="5"/>
  <c r="H424" i="5" a="1"/>
  <c r="H424" i="5" s="1"/>
  <c r="H425" i="5" a="1"/>
  <c r="H425" i="5"/>
  <c r="H426" i="5" a="1"/>
  <c r="H426" i="5" s="1"/>
  <c r="H427" i="5" a="1"/>
  <c r="H427" i="5"/>
  <c r="H428" i="5" a="1"/>
  <c r="H428" i="5" s="1"/>
  <c r="H429" i="5" a="1"/>
  <c r="H429" i="5"/>
  <c r="H430" i="5" a="1"/>
  <c r="H430" i="5" s="1"/>
  <c r="H431" i="5" a="1"/>
  <c r="H431" i="5"/>
  <c r="H432" i="5" a="1"/>
  <c r="H432" i="5" s="1"/>
  <c r="H433" i="5" a="1"/>
  <c r="H433" i="5"/>
  <c r="H434" i="5" a="1"/>
  <c r="H434" i="5" s="1"/>
  <c r="H435" i="5" a="1"/>
  <c r="H435" i="5"/>
  <c r="H436" i="5" a="1"/>
  <c r="H436" i="5" s="1"/>
  <c r="H437" i="5" a="1"/>
  <c r="H437" i="5"/>
  <c r="H438" i="5" a="1"/>
  <c r="H438" i="5" s="1"/>
  <c r="H439" i="5" a="1"/>
  <c r="H439" i="5"/>
  <c r="H440" i="5" a="1"/>
  <c r="H440" i="5" s="1"/>
  <c r="H441" i="5" a="1"/>
  <c r="H441" i="5"/>
  <c r="H442" i="5" a="1"/>
  <c r="H442" i="5" s="1"/>
  <c r="H443" i="5" a="1"/>
  <c r="H443" i="5"/>
  <c r="H444" i="5" a="1"/>
  <c r="H444" i="5" s="1"/>
  <c r="H445" i="5" a="1"/>
  <c r="H445" i="5"/>
  <c r="H446" i="5" a="1"/>
  <c r="H446" i="5" s="1"/>
  <c r="H447" i="5" a="1"/>
  <c r="H447" i="5"/>
  <c r="H448" i="5" a="1"/>
  <c r="H448" i="5" s="1"/>
  <c r="H449" i="5" a="1"/>
  <c r="H449" i="5"/>
  <c r="H450" i="5" a="1"/>
  <c r="H450" i="5" s="1"/>
  <c r="H451" i="5" a="1"/>
  <c r="H451" i="5"/>
  <c r="H452" i="5" a="1"/>
  <c r="H452" i="5" s="1"/>
  <c r="H453" i="5" a="1"/>
  <c r="H453" i="5"/>
  <c r="H454" i="5" a="1"/>
  <c r="H454" i="5" s="1"/>
  <c r="H455" i="5" a="1"/>
  <c r="H455" i="5"/>
  <c r="H456" i="5" a="1"/>
  <c r="H456" i="5" s="1"/>
  <c r="H457" i="5" a="1"/>
  <c r="H457" i="5"/>
  <c r="H458" i="5" a="1"/>
  <c r="H458" i="5" s="1"/>
  <c r="H459" i="5" a="1"/>
  <c r="H459" i="5"/>
  <c r="H460" i="5" a="1"/>
  <c r="H460" i="5" s="1"/>
  <c r="H461" i="5" a="1"/>
  <c r="H461" i="5"/>
  <c r="H462" i="5" a="1"/>
  <c r="H462" i="5" s="1"/>
  <c r="H463" i="5" a="1"/>
  <c r="H463" i="5"/>
  <c r="H464" i="5" a="1"/>
  <c r="H464" i="5" s="1"/>
  <c r="H465" i="5" a="1"/>
  <c r="H465" i="5"/>
  <c r="H466" i="5" a="1"/>
  <c r="H466" i="5" s="1"/>
  <c r="H467" i="5" a="1"/>
  <c r="H467" i="5"/>
  <c r="H468" i="5" a="1"/>
  <c r="H468" i="5" s="1"/>
  <c r="H469" i="5" a="1"/>
  <c r="H469" i="5"/>
  <c r="H470" i="5" a="1"/>
  <c r="H470" i="5" s="1"/>
  <c r="H471" i="5" a="1"/>
  <c r="H471" i="5"/>
  <c r="H472" i="5" a="1"/>
  <c r="H472" i="5" s="1"/>
  <c r="H473" i="5" a="1"/>
  <c r="H473" i="5"/>
  <c r="H474" i="5" a="1"/>
  <c r="H474" i="5" s="1"/>
  <c r="H475" i="5" a="1"/>
  <c r="H475" i="5"/>
  <c r="H476" i="5" a="1"/>
  <c r="H476" i="5" s="1"/>
  <c r="H477" i="5" a="1"/>
  <c r="H477" i="5"/>
  <c r="H478" i="5" a="1"/>
  <c r="H478" i="5" s="1"/>
  <c r="H479" i="5" a="1"/>
  <c r="H479" i="5"/>
  <c r="H480" i="5" a="1"/>
  <c r="H480" i="5" s="1"/>
  <c r="H481" i="5" a="1"/>
  <c r="H481" i="5"/>
  <c r="H482" i="5" a="1"/>
  <c r="H482" i="5" s="1"/>
  <c r="H483" i="5" a="1"/>
  <c r="H483" i="5"/>
  <c r="H484" i="5" a="1"/>
  <c r="H484" i="5" s="1"/>
  <c r="H485" i="5" a="1"/>
  <c r="H485" i="5"/>
  <c r="H486" i="5" a="1"/>
  <c r="H486" i="5" s="1"/>
  <c r="H487" i="5" a="1"/>
  <c r="H487" i="5"/>
  <c r="H488" i="5" a="1"/>
  <c r="H488" i="5" s="1"/>
  <c r="H489" i="5" a="1"/>
  <c r="H489" i="5"/>
  <c r="H490" i="5" a="1"/>
  <c r="H490" i="5" s="1"/>
  <c r="H491" i="5" a="1"/>
  <c r="H491" i="5"/>
  <c r="H492" i="5" a="1"/>
  <c r="H492" i="5" s="1"/>
  <c r="H493" i="5" a="1"/>
  <c r="H493" i="5"/>
  <c r="H494" i="5" a="1"/>
  <c r="H494" i="5" s="1"/>
  <c r="H495" i="5" a="1"/>
  <c r="H495" i="5"/>
  <c r="H496" i="5" a="1"/>
  <c r="H496" i="5" s="1"/>
  <c r="H497" i="5" a="1"/>
  <c r="H497" i="5"/>
  <c r="H498" i="5" a="1"/>
  <c r="H498" i="5" s="1"/>
  <c r="H499" i="5" a="1"/>
  <c r="H499" i="5"/>
  <c r="H500" i="5" a="1"/>
  <c r="H500" i="5" s="1"/>
  <c r="H501" i="5" a="1"/>
  <c r="H501" i="5"/>
  <c r="H502" i="5" a="1"/>
  <c r="H502" i="5" s="1"/>
  <c r="H503" i="5" a="1"/>
  <c r="H503" i="5"/>
  <c r="H504" i="5" a="1"/>
  <c r="H504" i="5" s="1"/>
  <c r="H505" i="5" a="1"/>
  <c r="H505" i="5"/>
  <c r="J496" i="5"/>
  <c r="J186" i="5"/>
  <c r="J480" i="5"/>
  <c r="J157" i="5"/>
  <c r="J493" i="5"/>
  <c r="J277" i="5"/>
  <c r="J236" i="5"/>
  <c r="J322" i="5"/>
  <c r="J288" i="5"/>
  <c r="J335" i="5"/>
  <c r="J274" i="5"/>
  <c r="J120" i="5"/>
  <c r="J282" i="5"/>
  <c r="J109" i="5"/>
  <c r="J329" i="5"/>
  <c r="J348" i="5"/>
  <c r="J301" i="5"/>
  <c r="J449" i="5"/>
  <c r="J293" i="5"/>
  <c r="J430" i="5"/>
  <c r="J261" i="5"/>
  <c r="J12" i="5"/>
  <c r="J255" i="5"/>
  <c r="J53" i="5"/>
  <c r="J302" i="5"/>
  <c r="J466" i="5"/>
  <c r="J290" i="5"/>
  <c r="J179" i="5"/>
  <c r="J266" i="5"/>
  <c r="J155" i="5"/>
  <c r="J272" i="5"/>
  <c r="J300" i="5"/>
  <c r="J299" i="5"/>
  <c r="J331" i="5"/>
  <c r="J321" i="5"/>
  <c r="J113" i="5"/>
  <c r="J264" i="5"/>
  <c r="J105" i="5"/>
  <c r="J229" i="5"/>
  <c r="J324" i="5"/>
  <c r="J246" i="5"/>
  <c r="J453" i="5"/>
  <c r="J286" i="5"/>
  <c r="J424" i="5"/>
  <c r="J239" i="5"/>
  <c r="J10" i="5"/>
  <c r="J298" i="5"/>
  <c r="J45" i="5"/>
  <c r="J313" i="5"/>
  <c r="J478" i="5"/>
  <c r="J267" i="5"/>
  <c r="J166" i="5"/>
  <c r="J233" i="5"/>
  <c r="J160" i="5"/>
  <c r="J218" i="5"/>
  <c r="J280" i="5"/>
  <c r="J283" i="5"/>
  <c r="J148" i="5"/>
  <c r="J304" i="5"/>
  <c r="J167" i="5"/>
  <c r="J104" i="5"/>
  <c r="J168" i="5"/>
  <c r="J92" i="5"/>
  <c r="J187" i="5"/>
  <c r="J337" i="5"/>
  <c r="J173" i="5"/>
  <c r="J448" i="5"/>
  <c r="J429" i="5"/>
  <c r="J205" i="5"/>
  <c r="J504" i="5"/>
  <c r="J170" i="5"/>
  <c r="J6" i="5"/>
  <c r="J144" i="5"/>
  <c r="J40" i="5"/>
  <c r="J182" i="5"/>
  <c r="J486" i="5"/>
  <c r="J175" i="5"/>
  <c r="J159" i="5"/>
  <c r="J153" i="5"/>
  <c r="J163" i="5"/>
  <c r="J213" i="5"/>
  <c r="J162" i="5"/>
  <c r="J247" i="5"/>
  <c r="J161" i="5"/>
  <c r="J82" i="5"/>
  <c r="J191" i="5"/>
  <c r="J73" i="5"/>
  <c r="J145" i="5"/>
  <c r="J327" i="5"/>
  <c r="J172" i="5"/>
  <c r="J416" i="5"/>
  <c r="J369" i="5"/>
  <c r="J150" i="5"/>
  <c r="J499" i="5"/>
  <c r="J185" i="5"/>
  <c r="J11" i="5"/>
  <c r="J177" i="5"/>
  <c r="J44" i="5"/>
  <c r="J180" i="5"/>
  <c r="J464" i="5"/>
  <c r="J418" i="5"/>
  <c r="J214" i="5"/>
  <c r="J459" i="5"/>
  <c r="J471" i="5"/>
  <c r="J314" i="5"/>
  <c r="J441" i="5"/>
  <c r="J485" i="5"/>
  <c r="J356" i="5"/>
  <c r="J137" i="5"/>
  <c r="J497" i="5"/>
  <c r="J125" i="5"/>
  <c r="J451" i="5"/>
  <c r="J352" i="5"/>
  <c r="J474" i="5"/>
  <c r="J484" i="5"/>
  <c r="J439" i="5"/>
  <c r="J461" i="5"/>
  <c r="J502" i="5"/>
  <c r="J443" i="5"/>
  <c r="J43" i="5"/>
  <c r="J479" i="5"/>
  <c r="J79" i="5"/>
  <c r="J468" i="5"/>
  <c r="J188" i="5"/>
  <c r="J149" i="5"/>
  <c r="J494" i="5"/>
  <c r="J292" i="5"/>
  <c r="J142" i="5"/>
  <c r="J487" i="5"/>
  <c r="J350" i="5"/>
  <c r="J396" i="5"/>
  <c r="J72" i="5"/>
  <c r="J174" i="5"/>
  <c r="J70" i="5"/>
  <c r="J444" i="5"/>
  <c r="J344" i="5"/>
  <c r="J475" i="5"/>
  <c r="J447" i="5"/>
  <c r="J423" i="5"/>
  <c r="J456" i="5"/>
  <c r="J491" i="5"/>
  <c r="J469" i="5"/>
  <c r="J34" i="5"/>
  <c r="J473" i="5"/>
  <c r="J57" i="5"/>
  <c r="J442" i="5"/>
  <c r="J393" i="5"/>
  <c r="J204" i="5"/>
  <c r="J426" i="5"/>
  <c r="J242" i="5"/>
  <c r="J285" i="5"/>
  <c r="J276" i="5"/>
  <c r="J295" i="5"/>
  <c r="J347" i="5"/>
  <c r="J273" i="5"/>
  <c r="J91" i="5"/>
  <c r="J317" i="5"/>
  <c r="J80" i="5"/>
  <c r="J463" i="5"/>
  <c r="J271" i="5"/>
  <c r="J434" i="5"/>
  <c r="J498" i="5"/>
  <c r="J330" i="5"/>
  <c r="J20" i="5"/>
  <c r="J281" i="5"/>
  <c r="J50" i="5"/>
  <c r="J296" i="5"/>
  <c r="J349" i="5"/>
  <c r="J202" i="5"/>
  <c r="J328" i="5"/>
  <c r="J297" i="5"/>
  <c r="J341" i="5"/>
  <c r="J326" i="5"/>
  <c r="J237" i="5"/>
  <c r="J112" i="5"/>
  <c r="J275" i="5"/>
  <c r="J102" i="5"/>
  <c r="J278" i="5"/>
  <c r="J415" i="5"/>
  <c r="J336" i="5"/>
  <c r="J380" i="5"/>
  <c r="J332" i="5"/>
  <c r="J489" i="5"/>
  <c r="J270" i="5"/>
  <c r="J36" i="5"/>
  <c r="J260" i="5"/>
  <c r="J65" i="5"/>
  <c r="J228" i="5"/>
  <c r="J259" i="5"/>
  <c r="J207" i="5"/>
  <c r="J42" i="5"/>
  <c r="J67" i="5"/>
  <c r="J291" i="5"/>
  <c r="J69" i="5"/>
  <c r="J46" i="5"/>
  <c r="J346" i="5"/>
  <c r="J99" i="5"/>
  <c r="J89" i="5"/>
  <c r="J61" i="5"/>
  <c r="J445" i="5"/>
  <c r="J402" i="5"/>
  <c r="J54" i="5"/>
  <c r="J482" i="5"/>
  <c r="J62" i="5"/>
  <c r="J23" i="5"/>
  <c r="J49" i="5"/>
  <c r="J55" i="5"/>
  <c r="J189" i="5"/>
  <c r="J71" i="5"/>
  <c r="J265" i="5"/>
  <c r="J37" i="5"/>
  <c r="J334" i="5"/>
  <c r="J66" i="5"/>
  <c r="J107" i="5"/>
  <c r="J93" i="5"/>
  <c r="J47" i="5"/>
  <c r="J24" i="5"/>
  <c r="J454" i="5"/>
  <c r="J74" i="5"/>
  <c r="J420" i="5"/>
  <c r="J58" i="5"/>
  <c r="J481" i="5"/>
  <c r="J7" i="5"/>
  <c r="J39" i="5"/>
  <c r="J30" i="5"/>
  <c r="J33" i="5"/>
  <c r="J19" i="5"/>
  <c r="J209" i="5"/>
  <c r="J243" i="5"/>
  <c r="J21" i="5"/>
  <c r="J340" i="5"/>
  <c r="J90" i="5"/>
  <c r="J14" i="5"/>
  <c r="J83" i="5"/>
  <c r="J27" i="5"/>
  <c r="J13" i="5"/>
  <c r="J440" i="5"/>
  <c r="J392" i="5"/>
  <c r="J477" i="5"/>
  <c r="J29" i="5"/>
  <c r="J3" i="5"/>
  <c r="J51" i="5"/>
  <c r="J35" i="5"/>
  <c r="J152" i="5"/>
  <c r="J4" i="5"/>
  <c r="J251" i="5"/>
  <c r="J60" i="5"/>
  <c r="J31" i="5"/>
  <c r="J325" i="5"/>
  <c r="J139" i="5"/>
  <c r="J18" i="5"/>
  <c r="J130" i="5"/>
  <c r="J457" i="5"/>
  <c r="J22" i="5"/>
  <c r="J401" i="5"/>
  <c r="J171" i="5"/>
  <c r="J435" i="5"/>
  <c r="J190" i="5"/>
  <c r="J196" i="5"/>
  <c r="J147" i="5"/>
  <c r="J232" i="5"/>
  <c r="J198" i="5"/>
  <c r="J289" i="5"/>
  <c r="J206" i="5"/>
  <c r="J86" i="5"/>
  <c r="J199" i="5"/>
  <c r="J76" i="5"/>
  <c r="J158" i="5"/>
  <c r="J404" i="5"/>
  <c r="J368" i="5"/>
  <c r="J183" i="5"/>
  <c r="J408" i="5"/>
  <c r="J16" i="5"/>
  <c r="J5" i="5"/>
  <c r="J210" i="5"/>
  <c r="J156" i="5"/>
  <c r="J181" i="5"/>
  <c r="J26" i="5"/>
  <c r="J253" i="5"/>
  <c r="J203" i="5"/>
  <c r="J311" i="5"/>
  <c r="J345" i="5"/>
  <c r="J141" i="5"/>
  <c r="J140" i="5"/>
  <c r="J220" i="5"/>
  <c r="J193" i="5"/>
  <c r="J465" i="5"/>
  <c r="J216" i="5"/>
  <c r="J431" i="5"/>
  <c r="J231" i="5"/>
  <c r="J436" i="5"/>
  <c r="J245" i="5"/>
  <c r="J38" i="5"/>
  <c r="J77" i="5"/>
  <c r="J483" i="5"/>
  <c r="J227" i="5"/>
  <c r="J252" i="5"/>
  <c r="J339" i="5"/>
  <c r="J224" i="5"/>
  <c r="J135" i="5"/>
  <c r="J219" i="5"/>
  <c r="J131" i="5"/>
  <c r="J432" i="5"/>
  <c r="J240" i="5"/>
  <c r="J421" i="5"/>
  <c r="J178" i="5"/>
  <c r="J450" i="5"/>
  <c r="J143" i="5"/>
  <c r="J222" i="5"/>
  <c r="J192" i="5"/>
  <c r="J230" i="5"/>
  <c r="J338" i="5"/>
  <c r="J134" i="5"/>
  <c r="J129" i="5"/>
  <c r="J234" i="5"/>
  <c r="J217" i="5"/>
  <c r="J410" i="5"/>
  <c r="J212" i="5"/>
  <c r="J395" i="5"/>
  <c r="J221" i="5"/>
  <c r="J458" i="5"/>
  <c r="J359" i="5"/>
  <c r="J384" i="5"/>
  <c r="J382" i="5"/>
  <c r="J208" i="5"/>
  <c r="J194" i="5"/>
  <c r="J248" i="5"/>
  <c r="J294" i="5"/>
  <c r="J366" i="5"/>
  <c r="J342" i="5"/>
  <c r="J136" i="5"/>
  <c r="J122" i="5"/>
  <c r="J381" i="5"/>
  <c r="J319" i="5"/>
  <c r="J373" i="5"/>
  <c r="J417" i="5"/>
  <c r="J400" i="5"/>
  <c r="J455" i="5"/>
  <c r="J25" i="5"/>
  <c r="J59" i="5"/>
  <c r="J452" i="5"/>
  <c r="J351" i="5"/>
  <c r="J184" i="5"/>
  <c r="J365" i="5"/>
  <c r="J164" i="5"/>
  <c r="J226" i="5"/>
  <c r="J254" i="5"/>
  <c r="J312" i="5"/>
  <c r="J103" i="5"/>
  <c r="J363" i="5"/>
  <c r="J88" i="5"/>
  <c r="J405" i="5"/>
  <c r="J262" i="5"/>
  <c r="J376" i="5"/>
  <c r="J433" i="5"/>
  <c r="J437" i="5"/>
  <c r="J383" i="5"/>
  <c r="J422" i="5"/>
  <c r="J8" i="5"/>
  <c r="J41" i="5"/>
  <c r="J414" i="5"/>
  <c r="J413" i="5"/>
  <c r="J428" i="5"/>
  <c r="J427" i="5"/>
  <c r="J269" i="5"/>
  <c r="J96" i="5"/>
  <c r="J85" i="5"/>
  <c r="J360" i="5"/>
  <c r="J388" i="5"/>
  <c r="J316" i="5"/>
  <c r="J389" i="5"/>
  <c r="J367" i="5"/>
  <c r="J399" i="5"/>
  <c r="J320" i="5"/>
  <c r="J409" i="5"/>
  <c r="J138" i="5"/>
  <c r="J127" i="5"/>
  <c r="J318" i="5"/>
  <c r="J412" i="5"/>
  <c r="J323" i="5"/>
  <c r="J201" i="5"/>
  <c r="J343" i="5"/>
  <c r="J176" i="5"/>
  <c r="J309" i="5"/>
  <c r="J238" i="5"/>
  <c r="J284" i="5"/>
  <c r="J333" i="5"/>
  <c r="J386" i="5"/>
  <c r="J123" i="5"/>
  <c r="J119" i="5"/>
  <c r="J357" i="5"/>
  <c r="J303" i="5"/>
  <c r="J398" i="5"/>
  <c r="J250" i="5"/>
  <c r="J394" i="5"/>
  <c r="J397" i="5"/>
  <c r="J425" i="5"/>
  <c r="J310" i="5"/>
  <c r="J32" i="5"/>
  <c r="J64" i="5"/>
  <c r="J460" i="5"/>
  <c r="J308" i="5"/>
  <c r="J287" i="5"/>
  <c r="J116" i="5"/>
  <c r="J258" i="5"/>
  <c r="J101" i="5"/>
  <c r="J305" i="5"/>
  <c r="J419" i="5"/>
  <c r="J75" i="5"/>
  <c r="J98" i="5"/>
  <c r="J100" i="5"/>
  <c r="J108" i="5"/>
  <c r="J403" i="5"/>
  <c r="J56" i="5"/>
  <c r="J117" i="5"/>
  <c r="J121" i="5"/>
  <c r="J110" i="5"/>
  <c r="J411" i="5"/>
  <c r="J84" i="5"/>
  <c r="J197" i="5"/>
  <c r="J146" i="5"/>
  <c r="J211" i="5"/>
  <c r="J106" i="5"/>
  <c r="J249" i="5"/>
  <c r="J306" i="5"/>
  <c r="J78" i="5"/>
  <c r="J114" i="5"/>
  <c r="J95" i="5"/>
  <c r="J68" i="5"/>
  <c r="J235" i="5"/>
  <c r="J118" i="5"/>
  <c r="J377" i="5"/>
  <c r="J124" i="5"/>
  <c r="J353" i="5"/>
  <c r="J375" i="5"/>
  <c r="J15" i="5"/>
  <c r="J48" i="5"/>
  <c r="J371" i="5"/>
  <c r="J132" i="5"/>
  <c r="J115" i="5"/>
  <c r="J81" i="5"/>
  <c r="J126" i="5"/>
  <c r="J370" i="5"/>
  <c r="J472" i="5"/>
  <c r="J387" i="5"/>
  <c r="J379" i="5"/>
  <c r="J407" i="5"/>
  <c r="J495" i="5"/>
  <c r="J500" i="5"/>
  <c r="J462" i="5"/>
  <c r="J492" i="5"/>
  <c r="J488" i="5"/>
  <c r="J256" i="5"/>
  <c r="J501" i="5"/>
  <c r="J354" i="5"/>
  <c r="J378" i="5"/>
  <c r="J263" i="5"/>
  <c r="J467" i="5"/>
  <c r="J244" i="5"/>
  <c r="J169" i="5"/>
  <c r="J165" i="5"/>
  <c r="J374" i="5"/>
  <c r="J438" i="5"/>
  <c r="J446" i="5"/>
  <c r="J195" i="5"/>
  <c r="J151" i="5"/>
  <c r="J225" i="5"/>
  <c r="J315" i="5"/>
  <c r="J391" i="5"/>
  <c r="J111" i="5"/>
  <c r="J268" i="5"/>
  <c r="J97" i="5"/>
  <c r="J257" i="5"/>
  <c r="J385" i="5"/>
  <c r="J358" i="5"/>
  <c r="J406" i="5"/>
  <c r="J17" i="5"/>
  <c r="J52" i="5"/>
  <c r="J241" i="5"/>
  <c r="J490" i="5"/>
  <c r="J63" i="5"/>
  <c r="J28" i="5"/>
  <c r="J9" i="5"/>
  <c r="J200" i="5"/>
  <c r="J154" i="5"/>
  <c r="J2" i="5"/>
  <c r="J215" i="5"/>
  <c r="J279" i="5"/>
  <c r="J94" i="5"/>
  <c r="J87" i="5"/>
  <c r="J223" i="5"/>
  <c r="J372" i="5"/>
  <c r="J355" i="5"/>
  <c r="J362" i="5"/>
  <c r="J470" i="5"/>
  <c r="J364" i="5"/>
  <c r="J361" i="5"/>
  <c r="J307" i="5"/>
  <c r="J128" i="5"/>
  <c r="J133" i="5"/>
  <c r="J505" i="5"/>
  <c r="J390" i="5"/>
  <c r="J503" i="5"/>
  <c r="J476" i="5"/>
  <c r="I186" i="5"/>
  <c r="I480" i="5"/>
  <c r="I157" i="5"/>
  <c r="I493" i="5"/>
  <c r="I277" i="5"/>
  <c r="I236" i="5"/>
  <c r="I322" i="5"/>
  <c r="I288" i="5"/>
  <c r="I335" i="5"/>
  <c r="I274" i="5"/>
  <c r="I120" i="5"/>
  <c r="I282" i="5"/>
  <c r="I109" i="5"/>
  <c r="I329" i="5"/>
  <c r="I348" i="5"/>
  <c r="I301" i="5"/>
  <c r="I449" i="5"/>
  <c r="I293" i="5"/>
  <c r="I430" i="5"/>
  <c r="I261" i="5"/>
  <c r="I12" i="5"/>
  <c r="I255" i="5"/>
  <c r="I53" i="5"/>
  <c r="I302" i="5"/>
  <c r="I466" i="5"/>
  <c r="I290" i="5"/>
  <c r="I179" i="5"/>
  <c r="I266" i="5"/>
  <c r="I155" i="5"/>
  <c r="I272" i="5"/>
  <c r="I300" i="5"/>
  <c r="I299" i="5"/>
  <c r="I331" i="5"/>
  <c r="I321" i="5"/>
  <c r="I113" i="5"/>
  <c r="I264" i="5"/>
  <c r="I105" i="5"/>
  <c r="I229" i="5"/>
  <c r="I324" i="5"/>
  <c r="I246" i="5"/>
  <c r="I453" i="5"/>
  <c r="I286" i="5"/>
  <c r="I424" i="5"/>
  <c r="I239" i="5"/>
  <c r="I10" i="5"/>
  <c r="I298" i="5"/>
  <c r="I45" i="5"/>
  <c r="I313" i="5"/>
  <c r="I478" i="5"/>
  <c r="I267" i="5"/>
  <c r="I166" i="5"/>
  <c r="I233" i="5"/>
  <c r="I160" i="5"/>
  <c r="I218" i="5"/>
  <c r="I280" i="5"/>
  <c r="I283" i="5"/>
  <c r="I148" i="5"/>
  <c r="I304" i="5"/>
  <c r="I167" i="5"/>
  <c r="I104" i="5"/>
  <c r="I168" i="5"/>
  <c r="I92" i="5"/>
  <c r="I187" i="5"/>
  <c r="I337" i="5"/>
  <c r="I173" i="5"/>
  <c r="I448" i="5"/>
  <c r="I429" i="5"/>
  <c r="I205" i="5"/>
  <c r="I504" i="5"/>
  <c r="I170" i="5"/>
  <c r="I6" i="5"/>
  <c r="I144" i="5"/>
  <c r="I40" i="5"/>
  <c r="I182" i="5"/>
  <c r="I486" i="5"/>
  <c r="I175" i="5"/>
  <c r="I159" i="5"/>
  <c r="I153" i="5"/>
  <c r="I163" i="5"/>
  <c r="I213" i="5"/>
  <c r="I162" i="5"/>
  <c r="I247" i="5"/>
  <c r="I161" i="5"/>
  <c r="I82" i="5"/>
  <c r="I191" i="5"/>
  <c r="I73" i="5"/>
  <c r="I145" i="5"/>
  <c r="I327" i="5"/>
  <c r="I172" i="5"/>
  <c r="I416" i="5"/>
  <c r="I369" i="5"/>
  <c r="I150" i="5"/>
  <c r="I499" i="5"/>
  <c r="I185" i="5"/>
  <c r="I11" i="5"/>
  <c r="I177" i="5"/>
  <c r="I44" i="5"/>
  <c r="I180" i="5"/>
  <c r="I464" i="5"/>
  <c r="I418" i="5"/>
  <c r="I214" i="5"/>
  <c r="I459" i="5"/>
  <c r="I471" i="5"/>
  <c r="I314" i="5"/>
  <c r="I441" i="5"/>
  <c r="I485" i="5"/>
  <c r="I356" i="5"/>
  <c r="I137" i="5"/>
  <c r="I497" i="5"/>
  <c r="I125" i="5"/>
  <c r="I451" i="5"/>
  <c r="I352" i="5"/>
  <c r="I474" i="5"/>
  <c r="I484" i="5"/>
  <c r="I439" i="5"/>
  <c r="I461" i="5"/>
  <c r="I502" i="5"/>
  <c r="I443" i="5"/>
  <c r="I43" i="5"/>
  <c r="I479" i="5"/>
  <c r="I79" i="5"/>
  <c r="I468" i="5"/>
  <c r="I188" i="5"/>
  <c r="I149" i="5"/>
  <c r="I494" i="5"/>
  <c r="I292" i="5"/>
  <c r="I142" i="5"/>
  <c r="I487" i="5"/>
  <c r="I350" i="5"/>
  <c r="I396" i="5"/>
  <c r="I72" i="5"/>
  <c r="I174" i="5"/>
  <c r="I70" i="5"/>
  <c r="I444" i="5"/>
  <c r="I344" i="5"/>
  <c r="I475" i="5"/>
  <c r="I447" i="5"/>
  <c r="I423" i="5"/>
  <c r="I456" i="5"/>
  <c r="I491" i="5"/>
  <c r="I469" i="5"/>
  <c r="I34" i="5"/>
  <c r="I473" i="5"/>
  <c r="I57" i="5"/>
  <c r="I442" i="5"/>
  <c r="I393" i="5"/>
  <c r="I204" i="5"/>
  <c r="I426" i="5"/>
  <c r="I242" i="5"/>
  <c r="I285" i="5"/>
  <c r="I276" i="5"/>
  <c r="I295" i="5"/>
  <c r="I347" i="5"/>
  <c r="I273" i="5"/>
  <c r="I91" i="5"/>
  <c r="I317" i="5"/>
  <c r="I80" i="5"/>
  <c r="I463" i="5"/>
  <c r="I271" i="5"/>
  <c r="I434" i="5"/>
  <c r="I498" i="5"/>
  <c r="I330" i="5"/>
  <c r="I20" i="5"/>
  <c r="I281" i="5"/>
  <c r="I50" i="5"/>
  <c r="I296" i="5"/>
  <c r="I349" i="5"/>
  <c r="I202" i="5"/>
  <c r="I328" i="5"/>
  <c r="I297" i="5"/>
  <c r="I341" i="5"/>
  <c r="I326" i="5"/>
  <c r="I237" i="5"/>
  <c r="I112" i="5"/>
  <c r="I275" i="5"/>
  <c r="I102" i="5"/>
  <c r="I278" i="5"/>
  <c r="I415" i="5"/>
  <c r="I336" i="5"/>
  <c r="I380" i="5"/>
  <c r="I332" i="5"/>
  <c r="I489" i="5"/>
  <c r="I270" i="5"/>
  <c r="I36" i="5"/>
  <c r="I260" i="5"/>
  <c r="I65" i="5"/>
  <c r="I228" i="5"/>
  <c r="I259" i="5"/>
  <c r="I207" i="5"/>
  <c r="I42" i="5"/>
  <c r="I67" i="5"/>
  <c r="I291" i="5"/>
  <c r="I69" i="5"/>
  <c r="I46" i="5"/>
  <c r="I346" i="5"/>
  <c r="I99" i="5"/>
  <c r="I89" i="5"/>
  <c r="I61" i="5"/>
  <c r="I445" i="5"/>
  <c r="I402" i="5"/>
  <c r="I54" i="5"/>
  <c r="I482" i="5"/>
  <c r="I62" i="5"/>
  <c r="I23" i="5"/>
  <c r="I49" i="5"/>
  <c r="I55" i="5"/>
  <c r="I189" i="5"/>
  <c r="I71" i="5"/>
  <c r="I265" i="5"/>
  <c r="I37" i="5"/>
  <c r="I334" i="5"/>
  <c r="I66" i="5"/>
  <c r="I107" i="5"/>
  <c r="I93" i="5"/>
  <c r="I47" i="5"/>
  <c r="I24" i="5"/>
  <c r="I454" i="5"/>
  <c r="I74" i="5"/>
  <c r="I420" i="5"/>
  <c r="I58" i="5"/>
  <c r="I481" i="5"/>
  <c r="I7" i="5"/>
  <c r="I39" i="5"/>
  <c r="I30" i="5"/>
  <c r="I33" i="5"/>
  <c r="I19" i="5"/>
  <c r="I209" i="5"/>
  <c r="I243" i="5"/>
  <c r="I21" i="5"/>
  <c r="I340" i="5"/>
  <c r="I90" i="5"/>
  <c r="I14" i="5"/>
  <c r="I83" i="5"/>
  <c r="I27" i="5"/>
  <c r="I13" i="5"/>
  <c r="I440" i="5"/>
  <c r="I392" i="5"/>
  <c r="I477" i="5"/>
  <c r="I29" i="5"/>
  <c r="I3" i="5"/>
  <c r="I51" i="5"/>
  <c r="I35" i="5"/>
  <c r="I152" i="5"/>
  <c r="I4" i="5"/>
  <c r="I251" i="5"/>
  <c r="I60" i="5"/>
  <c r="I31" i="5"/>
  <c r="I325" i="5"/>
  <c r="I139" i="5"/>
  <c r="I18" i="5"/>
  <c r="I130" i="5"/>
  <c r="I457" i="5"/>
  <c r="I22" i="5"/>
  <c r="I401" i="5"/>
  <c r="I171" i="5"/>
  <c r="I435" i="5"/>
  <c r="I190" i="5"/>
  <c r="I196" i="5"/>
  <c r="I147" i="5"/>
  <c r="I232" i="5"/>
  <c r="I198" i="5"/>
  <c r="I289" i="5"/>
  <c r="I206" i="5"/>
  <c r="I86" i="5"/>
  <c r="I199" i="5"/>
  <c r="I76" i="5"/>
  <c r="I158" i="5"/>
  <c r="I404" i="5"/>
  <c r="I368" i="5"/>
  <c r="I183" i="5"/>
  <c r="I408" i="5"/>
  <c r="I16" i="5"/>
  <c r="I5" i="5"/>
  <c r="I210" i="5"/>
  <c r="I156" i="5"/>
  <c r="I181" i="5"/>
  <c r="I26" i="5"/>
  <c r="I253" i="5"/>
  <c r="I203" i="5"/>
  <c r="I311" i="5"/>
  <c r="I345" i="5"/>
  <c r="I141" i="5"/>
  <c r="I140" i="5"/>
  <c r="I220" i="5"/>
  <c r="I193" i="5"/>
  <c r="I465" i="5"/>
  <c r="I216" i="5"/>
  <c r="I431" i="5"/>
  <c r="I231" i="5"/>
  <c r="I436" i="5"/>
  <c r="I245" i="5"/>
  <c r="I38" i="5"/>
  <c r="I77" i="5"/>
  <c r="I483" i="5"/>
  <c r="I227" i="5"/>
  <c r="I252" i="5"/>
  <c r="I339" i="5"/>
  <c r="I224" i="5"/>
  <c r="I135" i="5"/>
  <c r="I219" i="5"/>
  <c r="I131" i="5"/>
  <c r="I432" i="5"/>
  <c r="I240" i="5"/>
  <c r="I421" i="5"/>
  <c r="I178" i="5"/>
  <c r="I450" i="5"/>
  <c r="I143" i="5"/>
  <c r="I222" i="5"/>
  <c r="I192" i="5"/>
  <c r="I230" i="5"/>
  <c r="I338" i="5"/>
  <c r="I134" i="5"/>
  <c r="I129" i="5"/>
  <c r="I234" i="5"/>
  <c r="I217" i="5"/>
  <c r="I410" i="5"/>
  <c r="I212" i="5"/>
  <c r="I395" i="5"/>
  <c r="I221" i="5"/>
  <c r="I458" i="5"/>
  <c r="I359" i="5"/>
  <c r="I384" i="5"/>
  <c r="I382" i="5"/>
  <c r="I208" i="5"/>
  <c r="I194" i="5"/>
  <c r="I248" i="5"/>
  <c r="I294" i="5"/>
  <c r="I366" i="5"/>
  <c r="I342" i="5"/>
  <c r="I136" i="5"/>
  <c r="I122" i="5"/>
  <c r="I381" i="5"/>
  <c r="I319" i="5"/>
  <c r="I373" i="5"/>
  <c r="I417" i="5"/>
  <c r="I400" i="5"/>
  <c r="I455" i="5"/>
  <c r="I25" i="5"/>
  <c r="I59" i="5"/>
  <c r="I452" i="5"/>
  <c r="I351" i="5"/>
  <c r="I184" i="5"/>
  <c r="I365" i="5"/>
  <c r="I164" i="5"/>
  <c r="I226" i="5"/>
  <c r="I254" i="5"/>
  <c r="I312" i="5"/>
  <c r="I103" i="5"/>
  <c r="I363" i="5"/>
  <c r="I88" i="5"/>
  <c r="I405" i="5"/>
  <c r="I262" i="5"/>
  <c r="I376" i="5"/>
  <c r="I433" i="5"/>
  <c r="I437" i="5"/>
  <c r="I383" i="5"/>
  <c r="I422" i="5"/>
  <c r="I8" i="5"/>
  <c r="I41" i="5"/>
  <c r="I414" i="5"/>
  <c r="I413" i="5"/>
  <c r="I428" i="5"/>
  <c r="I427" i="5"/>
  <c r="I269" i="5"/>
  <c r="I96" i="5"/>
  <c r="I85" i="5"/>
  <c r="I360" i="5"/>
  <c r="I388" i="5"/>
  <c r="I316" i="5"/>
  <c r="I389" i="5"/>
  <c r="I367" i="5"/>
  <c r="I399" i="5"/>
  <c r="I320" i="5"/>
  <c r="I409" i="5"/>
  <c r="I138" i="5"/>
  <c r="I127" i="5"/>
  <c r="I318" i="5"/>
  <c r="I412" i="5"/>
  <c r="I323" i="5"/>
  <c r="I201" i="5"/>
  <c r="I343" i="5"/>
  <c r="I176" i="5"/>
  <c r="I309" i="5"/>
  <c r="I238" i="5"/>
  <c r="I284" i="5"/>
  <c r="I333" i="5"/>
  <c r="I386" i="5"/>
  <c r="I123" i="5"/>
  <c r="I119" i="5"/>
  <c r="I357" i="5"/>
  <c r="I303" i="5"/>
  <c r="I398" i="5"/>
  <c r="I250" i="5"/>
  <c r="I394" i="5"/>
  <c r="I397" i="5"/>
  <c r="I425" i="5"/>
  <c r="I310" i="5"/>
  <c r="I32" i="5"/>
  <c r="I64" i="5"/>
  <c r="I460" i="5"/>
  <c r="I308" i="5"/>
  <c r="I287" i="5"/>
  <c r="I116" i="5"/>
  <c r="I258" i="5"/>
  <c r="I101" i="5"/>
  <c r="I305" i="5"/>
  <c r="I419" i="5"/>
  <c r="I75" i="5"/>
  <c r="I98" i="5"/>
  <c r="I100" i="5"/>
  <c r="I108" i="5"/>
  <c r="I403" i="5"/>
  <c r="I56" i="5"/>
  <c r="I117" i="5"/>
  <c r="I121" i="5"/>
  <c r="I110" i="5"/>
  <c r="I411" i="5"/>
  <c r="I84" i="5"/>
  <c r="I197" i="5"/>
  <c r="I146" i="5"/>
  <c r="I211" i="5"/>
  <c r="I106" i="5"/>
  <c r="I249" i="5"/>
  <c r="I306" i="5"/>
  <c r="I78" i="5"/>
  <c r="I114" i="5"/>
  <c r="I95" i="5"/>
  <c r="I68" i="5"/>
  <c r="I235" i="5"/>
  <c r="I118" i="5"/>
  <c r="I377" i="5"/>
  <c r="I124" i="5"/>
  <c r="I353" i="5"/>
  <c r="I375" i="5"/>
  <c r="I15" i="5"/>
  <c r="I48" i="5"/>
  <c r="I371" i="5"/>
  <c r="I132" i="5"/>
  <c r="I115" i="5"/>
  <c r="I81" i="5"/>
  <c r="I126" i="5"/>
  <c r="I370" i="5"/>
  <c r="I472" i="5"/>
  <c r="I387" i="5"/>
  <c r="I379" i="5"/>
  <c r="I407" i="5"/>
  <c r="I495" i="5"/>
  <c r="I500" i="5"/>
  <c r="I462" i="5"/>
  <c r="I492" i="5"/>
  <c r="I488" i="5"/>
  <c r="I256" i="5"/>
  <c r="I501" i="5"/>
  <c r="I354" i="5"/>
  <c r="I378" i="5"/>
  <c r="I263" i="5"/>
  <c r="I467" i="5"/>
  <c r="I244" i="5"/>
  <c r="I169" i="5"/>
  <c r="I165" i="5"/>
  <c r="I374" i="5"/>
  <c r="I438" i="5"/>
  <c r="I446" i="5"/>
  <c r="I195" i="5"/>
  <c r="I151" i="5"/>
  <c r="I225" i="5"/>
  <c r="I315" i="5"/>
  <c r="I391" i="5"/>
  <c r="I111" i="5"/>
  <c r="I268" i="5"/>
  <c r="I97" i="5"/>
  <c r="I257" i="5"/>
  <c r="I385" i="5"/>
  <c r="I358" i="5"/>
  <c r="I406" i="5"/>
  <c r="I17" i="5"/>
  <c r="I52" i="5"/>
  <c r="I241" i="5"/>
  <c r="I490" i="5"/>
  <c r="I63" i="5"/>
  <c r="I28" i="5"/>
  <c r="I9" i="5"/>
  <c r="I200" i="5"/>
  <c r="I154" i="5"/>
  <c r="I2" i="5"/>
  <c r="I215" i="5"/>
  <c r="I279" i="5"/>
  <c r="I94" i="5"/>
  <c r="I87" i="5"/>
  <c r="I223" i="5"/>
  <c r="I372" i="5"/>
  <c r="I355" i="5"/>
  <c r="I362" i="5"/>
  <c r="I470" i="5"/>
  <c r="I364" i="5"/>
  <c r="I361" i="5"/>
  <c r="I307" i="5"/>
  <c r="I128" i="5"/>
  <c r="I133" i="5"/>
  <c r="I505" i="5"/>
  <c r="I390" i="5"/>
  <c r="I503" i="5"/>
  <c r="I476" i="5"/>
  <c r="I49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B76B3-DEEB-49ED-A1E2-F9ED0536377C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FF6ED2FC-A67A-4DF5-BFDB-9D4A95DDE4C9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3" xr16:uid="{817FBCB6-4087-4866-B595-483309C5291F}" keepAlive="1" name="Запрос — Таблица2" description="Соединение с запросом &quot;Таблица2&quot; в книге." type="5" refreshedVersion="8" background="1" saveData="1">
    <dbPr connection="Provider=Microsoft.Mashup.OleDb.1;Data Source=$Workbook$;Location=Таблица2;Extended Properties=&quot;&quot;" command="SELECT * FROM [Таблица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<sst xmlns="http://schemas.openxmlformats.org/spreadsheetml/2006/main" count="2584" uniqueCount="33">
  <si>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</si>
  <si>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</si>
  <si>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</si>
  <si>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</si>
  <si>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</si>
  <si>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</si>
  <si>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</si>
  <si>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</si>
  <si>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</si>
  <si>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</si>
  <si>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</si>
  <si>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</si>
  <si>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</si>
  <si>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</si>
  <si>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</si>
  <si>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</si>
  <si>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</si>
  <si>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</si>
  <si>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</si>
  <si>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</si>
  <si>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</si>
  <si>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</si>
  <si>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</si>
  <si>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</si>
  <si>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</si>
  <si>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</si>
  <si>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</si>
  <si>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Доля в общем товарообороте</t>
  </si>
  <si>
    <t>Общий итог</t>
  </si>
  <si>
    <t>Сумма по полю Товарооборот, руб</t>
  </si>
  <si>
    <t>Сумма по полю Товарооборот на склад</t>
  </si>
  <si>
    <t>Неделя / Территория</t>
  </si>
  <si>
    <t>Понедельная динамика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</si>
</sst>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164" fontId="3" fillId="0" borderId="0" xfId="0" applyNumberFormat="1" applyFont="1"/>
    <xf numFmtId="164" fontId="3" fillId="3" borderId="2" xfId="0" applyNumberFormat="1" applyFont="1" applyFill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22" fontId="0" fillId="0" borderId="0" xfId="0" applyNumberFormat="1"/>
    <xf numFmtId="14" fontId="0" fillId="0" borderId="0" xfId="0" applyNumberFormat="1"/>
    <xf numFmtId="10" fontId="1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4" borderId="0" xfId="0" applyFont="1" applyFill="1"/>
    <xf numFmtId="0" fontId="6" fillId="4" borderId="0" xfId="0" applyFont="1" applyFill="1" applyAlignment="1">
      <alignment horizontal="left"/>
    </xf>
  </cellXfs>
  <cellStyles count="2">
    <cellStyle name="Обычный" xfId="0" builtinId="0"/>
    <cellStyle name="Процентный" xfId="1" builtinId="5"/>
  </cellStyles>
  <dxfs count="42"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165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N.xlsx]Понедельная динамика!Сводная таблица2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'Понедельная динамика'!$B$3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'Понедельная динамика'!$A$4:$A$10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'Понедельная динамика'!$B$4:$B$10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2-442E-9773-478CC9FCC70C}"/>
            </c:ext>
          </c:extLst>
        </c:ser>
        <c:ser>
          <c:idx val="1"/>
          <c:order val="1"/>
          <c:tx>
            <c:strRef>
              <c:f>'Понедельная динамика'!$C$3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'Понедельная динамика'!$A$4:$A$10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'Понедельная динамика'!$C$4:$C$10</c:f>
              <c:numCache>
                <c:formatCode>General</c:formatCode>
                <c:ptCount val="6"/>
                <c:pt idx="0">
                  <c:v>17348737521.742348</c:v>
                </c:pt>
                <c:pt idx="1">
                  <c:v>20181794596.891197</c:v>
                </c:pt>
                <c:pt idx="2">
                  <c:v>18819717282.847347</c:v>
                </c:pt>
                <c:pt idx="3">
                  <c:v>20655262294.891197</c:v>
                </c:pt>
                <c:pt idx="4">
                  <c:v>22478258450.500046</c:v>
                </c:pt>
                <c:pt idx="5">
                  <c:v>2581239295.14885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2-442E-9773-478CC9FCC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101808"/>
        <c:axId val="557853568"/>
      </c:lineChart>
      <c:catAx>
        <c:axId val="177310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k-KZ"/>
                  <a:t>Неделя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53568"/>
        <c:crosses val="autoZero"/>
        <c:auto val="1"/>
        <c:lblAlgn val="ctr"/>
        <c:lblOffset val="100"/>
        <c:noMultiLvlLbl val="0"/>
      </c:catAx>
      <c:valAx>
        <c:axId val="5578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k-KZ"/>
                  <a:t>Сумма, руб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57150</xdr:rowOff>
    </xdr:from>
    <xdr:to>
      <xdr:col>2</xdr:col>
      <xdr:colOff>2452688</xdr:colOff>
      <xdr:row>26</xdr:row>
      <xdr:rowOff>57150</xdr:rowOff>
    </xdr:to>
    <xdr:graphicFrame macro="">
      <xdr:nvGraphicFramePr>
        <xdr:cNvPr id="2" name="Понедельная динамика товарооборота и товарооборота на склад">
          <a:extLst>
            <a:ext uri="{FF2B5EF4-FFF2-40B4-BE49-F238E27FC236}">
              <a16:creationId xmlns:a16="http://schemas.microsoft.com/office/drawing/2014/main" id="{24DBA7A8-8593-3482-C2C2-CCC654190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bekaskan" refreshedDate="45798.894746874998" createdVersion="8" refreshedVersion="8" minRefreshableVersion="3" recordCount="504" xr:uid="{8C906195-5715-4E20-805A-71F10D0D2CF1}">
  <cacheSource type="worksheet">
    <worksheetSource name="Слияние1"/>
  </cacheSource>
  <cacheFields count="10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нкт-Петербург Север"/>
        <s v="Санкт-Петербург Юг"/>
        <s v="Москва Запад"/>
        <s v="Москва Восток"/>
        <s v="Екатеринбург"/>
        <s v="Волгоград"/>
        <s v="Казань"/>
        <s v="Кемерово"/>
        <s v="Нижний Новгород"/>
        <s v="Краснодар"/>
        <s v="Пермь"/>
        <s v="Новосибирск"/>
        <s v="Ростов-на-Дону"/>
        <s v="Тольятти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0" maxValue="1055653508.75385"/>
    </cacheField>
    <cacheField name="Неделя" numFmtId="0">
      <sharedItems containsSemiMixedTypes="0" containsString="0" containsNumber="1" containsInteger="1" minValue="18" maxValue="23" count="6">
        <n v="22"/>
        <n v="19"/>
        <n v="21"/>
        <n v="18"/>
        <n v="20"/>
        <n v="23"/>
      </sharedItems>
    </cacheField>
    <cacheField name="Доля в общем товарообороте" numFmtId="10">
      <sharedItems containsSemiMixedTypes="0" containsString="0" containsNumber="1" minValue="7.839275291930327E-5" maxValue="1.091658758070895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29T00:00:00"/>
    <x v="0"/>
    <n v="524481"/>
    <n v="54172029"/>
    <n v="124"/>
    <n v="25828"/>
    <n v="23974"/>
    <n v="1055653508.75385"/>
    <x v="0"/>
    <n v="1.0916587580708952E-2"/>
  </r>
  <r>
    <d v="2020-05-08T00:00:00"/>
    <x v="0"/>
    <n v="463530"/>
    <n v="49123180.5"/>
    <n v="125"/>
    <n v="24620"/>
    <n v="22641"/>
    <n v="1001481479.75385"/>
    <x v="1"/>
    <n v="9.8991585153885252E-3"/>
  </r>
  <r>
    <d v="2020-05-23T00:00:00"/>
    <x v="0"/>
    <n v="456885"/>
    <n v="46408080"/>
    <n v="125"/>
    <n v="24574"/>
    <n v="22609"/>
    <n v="1001481479.75385"/>
    <x v="2"/>
    <n v="9.3520194669567836E-3"/>
  </r>
  <r>
    <d v="2020-05-30T00:00:00"/>
    <x v="0"/>
    <n v="453123"/>
    <n v="46370904"/>
    <n v="124"/>
    <n v="24325"/>
    <n v="22469"/>
    <n v="1001481479.75385"/>
    <x v="0"/>
    <n v="9.3445278690345353E-3"/>
  </r>
  <r>
    <d v="2020-04-30T00:00:00"/>
    <x v="0"/>
    <n v="401580"/>
    <n v="43028734.5"/>
    <n v="125"/>
    <n v="22368"/>
    <n v="20625"/>
    <n v="955110575.75384998"/>
    <x v="3"/>
    <n v="8.6710237243711654E-3"/>
  </r>
  <r>
    <d v="2020-05-16T00:00:00"/>
    <x v="0"/>
    <n v="408810"/>
    <n v="42323631"/>
    <n v="125"/>
    <n v="22291"/>
    <n v="20635"/>
    <n v="955110575.75384998"/>
    <x v="4"/>
    <n v="8.5289333457513362E-3"/>
  </r>
  <r>
    <d v="2020-05-15T00:00:00"/>
    <x v="0"/>
    <n v="403261.5"/>
    <n v="42271377"/>
    <n v="125"/>
    <n v="21862"/>
    <n v="20235"/>
    <n v="955110575.75384998"/>
    <x v="4"/>
    <n v="8.518403273720207E-3"/>
  </r>
  <r>
    <d v="2020-05-29T00:00:00"/>
    <x v="1"/>
    <n v="422965.5"/>
    <n v="41767140.105000004"/>
    <n v="129"/>
    <n v="22403"/>
    <n v="20676"/>
    <n v="955110575.75384998"/>
    <x v="0"/>
    <n v="8.4167909411695437E-3"/>
  </r>
  <r>
    <d v="2020-04-29T00:00:00"/>
    <x v="0"/>
    <n v="387220.5"/>
    <n v="41559384"/>
    <n v="125"/>
    <n v="21863"/>
    <n v="20160"/>
    <n v="913343435.64884996"/>
    <x v="3"/>
    <n v="8.3749245433711612E-3"/>
  </r>
  <r>
    <d v="2020-05-01T00:00:00"/>
    <x v="0"/>
    <n v="372504"/>
    <n v="40077193.5"/>
    <n v="125"/>
    <n v="20602"/>
    <n v="18845"/>
    <n v="913343435.64884996"/>
    <x v="3"/>
    <n v="8.0762378834244794E-3"/>
  </r>
  <r>
    <d v="2020-04-28T00:00:00"/>
    <x v="0"/>
    <n v="376060.5"/>
    <n v="39918028.5"/>
    <n v="125"/>
    <n v="20914"/>
    <n v="19479"/>
    <n v="913343435.64884996"/>
    <x v="3"/>
    <n v="8.0441634218553267E-3"/>
  </r>
  <r>
    <d v="2020-05-20T00:00:00"/>
    <x v="0"/>
    <n v="388668"/>
    <n v="39639309"/>
    <n v="125"/>
    <n v="21674"/>
    <n v="20155"/>
    <n v="913343435.64884996"/>
    <x v="2"/>
    <n v="7.9879966899021743E-3"/>
  </r>
  <r>
    <d v="2020-05-12T00:00:00"/>
    <x v="0"/>
    <n v="373392"/>
    <n v="39578577"/>
    <n v="125"/>
    <n v="21106"/>
    <n v="19651"/>
    <n v="913343435.64884996"/>
    <x v="4"/>
    <n v="7.9757581563048522E-3"/>
  </r>
  <r>
    <d v="2020-05-22T00:00:00"/>
    <x v="0"/>
    <n v="393018"/>
    <n v="39498373.5"/>
    <n v="125"/>
    <n v="21427"/>
    <n v="19799"/>
    <n v="913343435.64884996"/>
    <x v="2"/>
    <n v="7.9595957834310317E-3"/>
  </r>
  <r>
    <d v="2020-05-31T00:00:00"/>
    <x v="0"/>
    <n v="379663.5"/>
    <n v="39380178"/>
    <n v="124"/>
    <n v="21392"/>
    <n v="19869"/>
    <n v="913343435.64884996"/>
    <x v="0"/>
    <n v="7.9357773747205929E-3"/>
  </r>
  <r>
    <d v="2020-05-27T00:00:00"/>
    <x v="0"/>
    <n v="370012.5"/>
    <n v="39034861.5"/>
    <n v="124"/>
    <n v="21384"/>
    <n v="19897"/>
    <n v="873963257.64884996"/>
    <x v="0"/>
    <n v="7.8661902116605974E-3"/>
  </r>
  <r>
    <d v="2020-05-10T00:00:00"/>
    <x v="0"/>
    <n v="368649"/>
    <n v="39010875"/>
    <n v="125"/>
    <n v="20368"/>
    <n v="18884"/>
    <n v="834928396.14884996"/>
    <x v="1"/>
    <n v="7.8613565228946719E-3"/>
  </r>
  <r>
    <d v="2020-05-09T00:00:00"/>
    <x v="0"/>
    <n v="359214"/>
    <n v="38693427"/>
    <n v="125"/>
    <n v="20132"/>
    <n v="18617"/>
    <n v="834928396.14884996"/>
    <x v="1"/>
    <n v="7.7973853377961604E-3"/>
  </r>
  <r>
    <d v="2020-05-04T00:00:00"/>
    <x v="0"/>
    <n v="360255"/>
    <n v="38406954"/>
    <n v="125"/>
    <n v="20495"/>
    <n v="18964"/>
    <n v="834928396.14884996"/>
    <x v="1"/>
    <n v="7.7396561433809314E-3"/>
  </r>
  <r>
    <d v="2020-05-26T00:00:00"/>
    <x v="0"/>
    <n v="369861"/>
    <n v="38365960.5"/>
    <n v="124"/>
    <n v="21153"/>
    <n v="19673"/>
    <n v="834928396.14884996"/>
    <x v="0"/>
    <n v="7.7313952541129705E-3"/>
  </r>
  <r>
    <d v="2020-05-24T00:00:00"/>
    <x v="0"/>
    <n v="375744"/>
    <n v="38191381.5"/>
    <n v="125"/>
    <n v="21004"/>
    <n v="19556"/>
    <n v="796562435.64884996"/>
    <x v="2"/>
    <n v="7.696214608705493E-3"/>
  </r>
  <r>
    <d v="2020-05-06T00:00:00"/>
    <x v="0"/>
    <n v="355278"/>
    <n v="38092344"/>
    <n v="125"/>
    <n v="20218"/>
    <n v="18647"/>
    <n v="796562435.64884996"/>
    <x v="1"/>
    <n v="7.6762568636757752E-3"/>
  </r>
  <r>
    <d v="2020-05-08T00:00:00"/>
    <x v="1"/>
    <n v="370092"/>
    <n v="38091556.5"/>
    <n v="129"/>
    <n v="20452"/>
    <n v="18857"/>
    <n v="796562435.64884996"/>
    <x v="1"/>
    <n v="7.6760981689973865E-3"/>
  </r>
  <r>
    <d v="2020-05-14T00:00:00"/>
    <x v="0"/>
    <n v="358387.5"/>
    <n v="37963150.5"/>
    <n v="125"/>
    <n v="20247"/>
    <n v="18812"/>
    <n v="796562435.64884996"/>
    <x v="4"/>
    <n v="7.6502221704282999E-3"/>
  </r>
  <r>
    <d v="2020-05-28T00:00:00"/>
    <x v="0"/>
    <n v="364638"/>
    <n v="37947688.5"/>
    <n v="124"/>
    <n v="20868"/>
    <n v="19342"/>
    <n v="796562435.64884996"/>
    <x v="0"/>
    <n v="7.6471063137714835E-3"/>
  </r>
  <r>
    <d v="2020-05-21T00:00:00"/>
    <x v="0"/>
    <n v="378043.5"/>
    <n v="37902156.57"/>
    <n v="125"/>
    <n v="20911"/>
    <n v="19358"/>
    <n v="758614747.14884996"/>
    <x v="2"/>
    <n v="7.6379308534695678E-3"/>
  </r>
  <r>
    <d v="2020-06-01T00:00:00"/>
    <x v="0"/>
    <n v="349699.5"/>
    <n v="37257840.18135"/>
    <n v="123"/>
    <n v="20325"/>
    <n v="18935"/>
    <n v="758614747.14884996"/>
    <x v="5"/>
    <n v="7.5080901143238397E-3"/>
  </r>
  <r>
    <d v="2020-05-13T00:00:00"/>
    <x v="0"/>
    <n v="350068.5"/>
    <n v="37197115.5"/>
    <n v="125"/>
    <n v="19965"/>
    <n v="18573"/>
    <n v="758614747.14884996"/>
    <x v="4"/>
    <n v="7.4958530555592892E-3"/>
  </r>
  <r>
    <d v="2020-05-19T00:00:00"/>
    <x v="0"/>
    <n v="362536.5"/>
    <n v="37023243"/>
    <n v="125"/>
    <n v="20771"/>
    <n v="19338"/>
    <n v="758614747.14884996"/>
    <x v="2"/>
    <n v="7.4608147819489948E-3"/>
  </r>
  <r>
    <d v="2020-05-25T00:00:00"/>
    <x v="0"/>
    <n v="349734"/>
    <n v="36883428"/>
    <n v="124"/>
    <n v="20358"/>
    <n v="18890"/>
    <n v="758614747.14884996"/>
    <x v="0"/>
    <n v="7.4326396753345309E-3"/>
  </r>
  <r>
    <d v="2020-05-18T00:00:00"/>
    <x v="0"/>
    <n v="355081.5"/>
    <n v="36876888"/>
    <n v="125"/>
    <n v="20449"/>
    <n v="19060"/>
    <n v="721731319.14884996"/>
    <x v="2"/>
    <n v="7.4313217538149613E-3"/>
  </r>
  <r>
    <d v="2020-05-17T00:00:00"/>
    <x v="0"/>
    <n v="357072"/>
    <n v="36834567"/>
    <n v="125"/>
    <n v="20079"/>
    <n v="18721"/>
    <n v="721731319.14884996"/>
    <x v="4"/>
    <n v="7.4227933506605739E-3"/>
  </r>
  <r>
    <d v="2020-05-03T00:00:00"/>
    <x v="0"/>
    <n v="342666"/>
    <n v="36631999.5"/>
    <n v="125"/>
    <n v="18861"/>
    <n v="17420"/>
    <n v="721731319.14884996"/>
    <x v="3"/>
    <n v="7.3819725452453798E-3"/>
  </r>
  <r>
    <d v="2020-05-30T00:00:00"/>
    <x v="1"/>
    <n v="364882.5"/>
    <n v="35724493.5"/>
    <n v="129"/>
    <n v="20243"/>
    <n v="18711"/>
    <n v="721731319.14884996"/>
    <x v="0"/>
    <n v="7.1990946115239223E-3"/>
  </r>
  <r>
    <d v="2020-05-05T00:00:00"/>
    <x v="0"/>
    <n v="333792"/>
    <n v="35671734"/>
    <n v="125"/>
    <n v="18944"/>
    <n v="17541"/>
    <n v="686006825.64884996"/>
    <x v="1"/>
    <n v="7.188462672623048E-3"/>
  </r>
  <r>
    <d v="2020-05-23T00:00:00"/>
    <x v="1"/>
    <n v="356982"/>
    <n v="35103926.711549997"/>
    <n v="129"/>
    <n v="19856"/>
    <n v="18325"/>
    <n v="686006825.64884996"/>
    <x v="2"/>
    <n v="7.0740398217948221E-3"/>
  </r>
  <r>
    <d v="2020-05-11T00:00:00"/>
    <x v="0"/>
    <n v="318565.5"/>
    <n v="33781581"/>
    <n v="125"/>
    <n v="18066"/>
    <n v="16883"/>
    <n v="686006825.64884996"/>
    <x v="4"/>
    <n v="6.8075646123816683E-3"/>
  </r>
  <r>
    <d v="2020-05-07T00:00:00"/>
    <x v="0"/>
    <n v="319110"/>
    <n v="33763989"/>
    <n v="125"/>
    <n v="18014"/>
    <n v="16675"/>
    <n v="686006825.64884996"/>
    <x v="1"/>
    <n v="6.8040195244042576E-3"/>
  </r>
  <r>
    <d v="2020-04-30T00:00:00"/>
    <x v="1"/>
    <n v="311131.5"/>
    <n v="32418879"/>
    <n v="129"/>
    <n v="18042"/>
    <n v="16631"/>
    <n v="686006825.64884996"/>
    <x v="3"/>
    <n v="6.5329569226935591E-3"/>
  </r>
  <r>
    <d v="2020-05-15T00:00:00"/>
    <x v="1"/>
    <n v="318816"/>
    <n v="32354331"/>
    <n v="129"/>
    <n v="17808"/>
    <n v="16486"/>
    <n v="686006825.64884996"/>
    <x v="4"/>
    <n v="6.5199494000261022E-3"/>
  </r>
  <r>
    <d v="2020-05-16T00:00:00"/>
    <x v="1"/>
    <n v="321412.5"/>
    <n v="32235864"/>
    <n v="129"/>
    <n v="17914"/>
    <n v="16631"/>
    <n v="686006825.64884996"/>
    <x v="4"/>
    <n v="6.496076279436068E-3"/>
  </r>
  <r>
    <d v="2020-05-02T00:00:00"/>
    <x v="0"/>
    <n v="296580"/>
    <n v="31843737"/>
    <n v="125"/>
    <n v="16932"/>
    <n v="15601"/>
    <n v="686006825.64884996"/>
    <x v="3"/>
    <n v="6.4170560024170795E-3"/>
  </r>
  <r>
    <d v="2020-05-01T00:00:00"/>
    <x v="1"/>
    <n v="296149.5"/>
    <n v="31053316.5"/>
    <n v="129"/>
    <n v="17002"/>
    <n v="15570"/>
    <n v="686006825.64884996"/>
    <x v="3"/>
    <n v="6.257772793478427E-3"/>
  </r>
  <r>
    <d v="2020-04-29T00:00:00"/>
    <x v="1"/>
    <n v="298059"/>
    <n v="30869287.5"/>
    <n v="128"/>
    <n v="17368"/>
    <n v="16077"/>
    <n v="686006825.64884996"/>
    <x v="3"/>
    <n v="6.2206878119302877E-3"/>
  </r>
  <r>
    <d v="2020-05-09T00:00:00"/>
    <x v="1"/>
    <n v="285972"/>
    <n v="29768199"/>
    <n v="129"/>
    <n v="16420"/>
    <n v="15169"/>
    <n v="686006825.64884996"/>
    <x v="1"/>
    <n v="5.9987997035051543E-3"/>
  </r>
  <r>
    <d v="2020-05-10T00:00:00"/>
    <x v="1"/>
    <n v="287206.5"/>
    <n v="29536176.10605"/>
    <n v="129"/>
    <n v="16437"/>
    <n v="15285"/>
    <n v="686006825.64884996"/>
    <x v="1"/>
    <n v="5.9520431339379568E-3"/>
  </r>
  <r>
    <d v="2020-05-22T00:00:00"/>
    <x v="1"/>
    <n v="304092"/>
    <n v="29465769"/>
    <n v="129"/>
    <n v="17088"/>
    <n v="15804"/>
    <n v="686006825.64884996"/>
    <x v="2"/>
    <n v="5.937854901492407E-3"/>
  </r>
  <r>
    <d v="2020-05-20T00:00:00"/>
    <x v="1"/>
    <n v="300151.5"/>
    <n v="29368771.617449999"/>
    <n v="129"/>
    <n v="17095"/>
    <n v="15919"/>
    <n v="686006825.64884996"/>
    <x v="2"/>
    <n v="5.9183082749167878E-3"/>
  </r>
  <r>
    <d v="2020-05-04T00:00:00"/>
    <x v="1"/>
    <n v="283942.5"/>
    <n v="29357940"/>
    <n v="129"/>
    <n v="16525"/>
    <n v="15310"/>
    <n v="686006825.64884996"/>
    <x v="1"/>
    <n v="5.9161255193007183E-3"/>
  </r>
  <r>
    <d v="2020-05-31T00:00:00"/>
    <x v="1"/>
    <n v="294337.5"/>
    <n v="29327766"/>
    <n v="129"/>
    <n v="17235"/>
    <n v="16052"/>
    <n v="686006825.64884996"/>
    <x v="0"/>
    <n v="5.9100449437760258E-3"/>
  </r>
  <r>
    <d v="2020-05-27T00:00:00"/>
    <x v="1"/>
    <n v="286558.5"/>
    <n v="29256993"/>
    <n v="129"/>
    <n v="17115"/>
    <n v="15962"/>
    <n v="656679059.64884996"/>
    <x v="0"/>
    <n v="5.8957829774603553E-3"/>
  </r>
  <r>
    <d v="2020-04-28T00:00:00"/>
    <x v="1"/>
    <n v="286002"/>
    <n v="29159032.5"/>
    <n v="128"/>
    <n v="16450"/>
    <n v="15320"/>
    <n v="627422066.64884996"/>
    <x v="3"/>
    <n v="5.8760422662955582E-3"/>
  </r>
  <r>
    <d v="2020-05-12T00:00:00"/>
    <x v="1"/>
    <n v="281796"/>
    <n v="29042520"/>
    <n v="129"/>
    <n v="16387"/>
    <n v="15322"/>
    <n v="627422066.64884996"/>
    <x v="4"/>
    <n v="5.852563010783505E-3"/>
  </r>
  <r>
    <d v="2020-05-06T00:00:00"/>
    <x v="1"/>
    <n v="277512"/>
    <n v="28770810.105599999"/>
    <n v="129"/>
    <n v="16376"/>
    <n v="15197"/>
    <n v="627422066.64884996"/>
    <x v="1"/>
    <n v="5.7978088338859991E-3"/>
  </r>
  <r>
    <d v="2020-05-23T00:00:00"/>
    <x v="2"/>
    <n v="292018.5"/>
    <n v="28590910.5"/>
    <n v="60"/>
    <n v="17295"/>
    <n v="16010"/>
    <n v="627422066.64884996"/>
    <x v="2"/>
    <n v="5.7615559957235711E-3"/>
  </r>
  <r>
    <d v="2020-05-03T00:00:00"/>
    <x v="1"/>
    <n v="274083"/>
    <n v="28427001"/>
    <n v="129"/>
    <n v="15778"/>
    <n v="14624"/>
    <n v="627422066.64884996"/>
    <x v="3"/>
    <n v="5.7285254365015744E-3"/>
  </r>
  <r>
    <d v="2020-05-24T00:00:00"/>
    <x v="1"/>
    <n v="287740.5"/>
    <n v="28188534"/>
    <n v="129"/>
    <n v="16432"/>
    <n v="15345"/>
    <n v="627422066.64884996"/>
    <x v="2"/>
    <n v="5.6804702696809086E-3"/>
  </r>
  <r>
    <d v="2020-05-14T00:00:00"/>
    <x v="1"/>
    <n v="274059"/>
    <n v="28181292"/>
    <n v="129"/>
    <n v="15804"/>
    <n v="14738"/>
    <n v="627422066.64884996"/>
    <x v="4"/>
    <n v="5.6790108831908902E-3"/>
  </r>
  <r>
    <d v="2020-05-28T00:00:00"/>
    <x v="1"/>
    <n v="278491.5"/>
    <n v="28151004.75"/>
    <n v="129"/>
    <n v="16453"/>
    <n v="15289"/>
    <n v="627422066.64884996"/>
    <x v="0"/>
    <n v="5.6729074858600679E-3"/>
  </r>
  <r>
    <d v="2020-05-26T00:00:00"/>
    <x v="1"/>
    <n v="276966"/>
    <n v="27872617.898850001"/>
    <n v="129"/>
    <n v="16459"/>
    <n v="15355"/>
    <n v="599271061.89884996"/>
    <x v="0"/>
    <n v="5.6168077883224929E-3"/>
  </r>
  <r>
    <d v="2020-05-21T00:00:00"/>
    <x v="1"/>
    <n v="288936"/>
    <n v="27852900"/>
    <n v="129"/>
    <n v="16373"/>
    <n v="15223"/>
    <n v="571398444"/>
    <x v="2"/>
    <n v="5.6128342954761459E-3"/>
  </r>
  <r>
    <d v="2020-06-01T00:00:00"/>
    <x v="1"/>
    <n v="272926.5"/>
    <n v="27770092.5"/>
    <n v="128"/>
    <n v="16285"/>
    <n v="15130"/>
    <n v="571398444"/>
    <x v="5"/>
    <n v="5.5961471721991214E-3"/>
  </r>
  <r>
    <d v="2020-05-18T00:00:00"/>
    <x v="1"/>
    <n v="273900"/>
    <n v="27535284.147600003"/>
    <n v="129"/>
    <n v="16110"/>
    <n v="14992"/>
    <n v="571398444"/>
    <x v="2"/>
    <n v="5.5488292852568294E-3"/>
  </r>
  <r>
    <d v="2020-05-05T00:00:00"/>
    <x v="1"/>
    <n v="262734"/>
    <n v="27278441.145"/>
    <n v="129"/>
    <n v="15665"/>
    <n v="14501"/>
    <n v="571398444"/>
    <x v="1"/>
    <n v="5.4970710405661018E-3"/>
  </r>
  <r>
    <d v="2020-05-25T00:00:00"/>
    <x v="1"/>
    <n v="266983.5"/>
    <n v="27165913.5"/>
    <n v="129"/>
    <n v="15822"/>
    <n v="14753"/>
    <n v="571398444"/>
    <x v="0"/>
    <n v="5.4743948012859851E-3"/>
  </r>
  <r>
    <d v="2020-05-19T00:00:00"/>
    <x v="1"/>
    <n v="276568.5"/>
    <n v="27093624"/>
    <n v="129"/>
    <n v="16191"/>
    <n v="15102"/>
    <n v="544232530.5"/>
    <x v="2"/>
    <n v="5.4598272343610752E-3"/>
  </r>
  <r>
    <d v="2020-05-23T00:00:00"/>
    <x v="3"/>
    <n v="275793"/>
    <n v="26806626"/>
    <n v="54"/>
    <n v="16221"/>
    <n v="15065"/>
    <n v="544232530.5"/>
    <x v="2"/>
    <n v="5.4019922434935877E-3"/>
  </r>
  <r>
    <d v="2020-05-17T00:00:00"/>
    <x v="1"/>
    <n v="269029.5"/>
    <n v="26659930.5"/>
    <n v="129"/>
    <n v="15744"/>
    <n v="14685"/>
    <n v="544232530.5"/>
    <x v="4"/>
    <n v="5.372430598803375E-3"/>
  </r>
  <r>
    <d v="2020-05-03T00:00:00"/>
    <x v="2"/>
    <n v="257215.5"/>
    <n v="26492278.5"/>
    <n v="59"/>
    <n v="15277"/>
    <n v="14163"/>
    <n v="544232530.5"/>
    <x v="3"/>
    <n v="5.3386458620145608E-3"/>
  </r>
  <r>
    <d v="2020-05-13T00:00:00"/>
    <x v="1"/>
    <n v="258459"/>
    <n v="26467453.5"/>
    <n v="129"/>
    <n v="15304"/>
    <n v="14315"/>
    <n v="544232530.5"/>
    <x v="4"/>
    <n v="5.3336432012005986E-3"/>
  </r>
  <r>
    <d v="2020-05-03T00:00:00"/>
    <x v="3"/>
    <n v="248148"/>
    <n v="25519072.5"/>
    <n v="54"/>
    <n v="14823"/>
    <n v="13751"/>
    <n v="544232530.5"/>
    <x v="3"/>
    <n v="5.1425282579818325E-3"/>
  </r>
  <r>
    <d v="2020-05-01T00:00:00"/>
    <x v="2"/>
    <n v="239409"/>
    <n v="25413351"/>
    <n v="59"/>
    <n v="15222"/>
    <n v="13873"/>
    <n v="544232530.5"/>
    <x v="3"/>
    <n v="5.1212235729770688E-3"/>
  </r>
  <r>
    <d v="2020-05-07T00:00:00"/>
    <x v="1"/>
    <n v="247813.5"/>
    <n v="25325271"/>
    <n v="129"/>
    <n v="14582"/>
    <n v="13512"/>
    <n v="544232530.5"/>
    <x v="1"/>
    <n v="5.1034739510437861E-3"/>
  </r>
  <r>
    <d v="2020-05-26T00:00:00"/>
    <x v="2"/>
    <n v="244905"/>
    <n v="25163431.5"/>
    <n v="59"/>
    <n v="15369"/>
    <n v="14299"/>
    <n v="544232530.5"/>
    <x v="0"/>
    <n v="5.0708605321192679E-3"/>
  </r>
  <r>
    <d v="2020-05-10T00:00:00"/>
    <x v="2"/>
    <n v="243825"/>
    <n v="24890404.5"/>
    <n v="59"/>
    <n v="14569"/>
    <n v="13566"/>
    <n v="519069099"/>
    <x v="1"/>
    <n v="5.0158409359841814E-3"/>
  </r>
  <r>
    <d v="2020-05-11T00:00:00"/>
    <x v="1"/>
    <n v="237099"/>
    <n v="24628233.223949999"/>
    <n v="129"/>
    <n v="14043"/>
    <n v="13167"/>
    <n v="519069099"/>
    <x v="4"/>
    <n v="4.9630089533359758E-3"/>
  </r>
  <r>
    <d v="2020-05-30T00:00:00"/>
    <x v="2"/>
    <n v="246414"/>
    <n v="24527245.5"/>
    <n v="59"/>
    <n v="15030"/>
    <n v="13956"/>
    <n v="519069099"/>
    <x v="0"/>
    <n v="4.9426582049252668E-3"/>
  </r>
  <r>
    <d v="2020-05-02T00:00:00"/>
    <x v="1"/>
    <n v="232903.5"/>
    <n v="24342016.5"/>
    <n v="129"/>
    <n v="14009"/>
    <n v="12920"/>
    <n v="494541853.5"/>
    <x v="3"/>
    <n v="4.9053314029148211E-3"/>
  </r>
  <r>
    <d v="2020-05-04T00:00:00"/>
    <x v="2"/>
    <n v="237544.5"/>
    <n v="24292218"/>
    <n v="59"/>
    <n v="14423"/>
    <n v="13432"/>
    <n v="494541853.5"/>
    <x v="1"/>
    <n v="4.895296156004687E-3"/>
  </r>
  <r>
    <d v="2020-05-30T00:00:00"/>
    <x v="3"/>
    <n v="244734"/>
    <n v="24151980"/>
    <n v="54"/>
    <n v="14590"/>
    <n v="13551"/>
    <n v="494541853.5"/>
    <x v="0"/>
    <n v="4.8670358076772606E-3"/>
  </r>
  <r>
    <d v="2020-05-01T00:00:00"/>
    <x v="3"/>
    <n v="226540.5"/>
    <n v="23953536"/>
    <n v="54"/>
    <n v="14205"/>
    <n v="13026"/>
    <n v="470389873.5"/>
    <x v="3"/>
    <n v="4.8270459578256663E-3"/>
  </r>
  <r>
    <d v="2020-05-08T00:00:00"/>
    <x v="2"/>
    <n v="232701"/>
    <n v="23881948.5"/>
    <n v="59"/>
    <n v="14098"/>
    <n v="13106"/>
    <n v="470389873.5"/>
    <x v="1"/>
    <n v="4.8126198558712053E-3"/>
  </r>
  <r>
    <d v="2020-05-26T00:00:00"/>
    <x v="3"/>
    <n v="232369.5"/>
    <n v="23856345"/>
    <n v="54"/>
    <n v="14482"/>
    <n v="13510"/>
    <n v="470389873.5"/>
    <x v="0"/>
    <n v="4.8074603140323222E-3"/>
  </r>
  <r>
    <d v="2020-05-16T00:00:00"/>
    <x v="2"/>
    <n v="236551.5"/>
    <n v="23689383"/>
    <n v="60"/>
    <n v="14049"/>
    <n v="13118"/>
    <n v="446533528.5"/>
    <x v="4"/>
    <n v="4.7738146240093341E-3"/>
  </r>
  <r>
    <d v="2020-05-10T00:00:00"/>
    <x v="3"/>
    <n v="231559.5"/>
    <n v="23443725"/>
    <n v="54"/>
    <n v="13832"/>
    <n v="12864"/>
    <n v="446533528.5"/>
    <x v="1"/>
    <n v="4.7243103480682988E-3"/>
  </r>
  <r>
    <d v="2020-05-29T00:00:00"/>
    <x v="2"/>
    <n v="232102.5"/>
    <n v="23120443.5"/>
    <n v="59"/>
    <n v="14507"/>
    <n v="13386"/>
    <n v="446533528.5"/>
    <x v="0"/>
    <n v="4.6591636132474008E-3"/>
  </r>
  <r>
    <d v="2020-05-15T00:00:00"/>
    <x v="2"/>
    <n v="230896.5"/>
    <n v="23085222"/>
    <n v="60"/>
    <n v="13544"/>
    <n v="12643"/>
    <n v="423413085"/>
    <x v="4"/>
    <n v="4.6520658804031327E-3"/>
  </r>
  <r>
    <d v="2020-05-06T00:00:00"/>
    <x v="2"/>
    <n v="224779.5"/>
    <n v="23032992"/>
    <n v="59"/>
    <n v="14103"/>
    <n v="13118"/>
    <n v="423413085"/>
    <x v="1"/>
    <n v="4.6415406447812514E-3"/>
  </r>
  <r>
    <d v="2020-05-08T00:00:00"/>
    <x v="3"/>
    <n v="225076.5"/>
    <n v="22846078.5"/>
    <n v="54"/>
    <n v="13563"/>
    <n v="12604"/>
    <n v="423413085"/>
    <x v="1"/>
    <n v="4.6038743872968422E-3"/>
  </r>
  <r>
    <d v="2020-05-04T00:00:00"/>
    <x v="3"/>
    <n v="223617"/>
    <n v="22796827.5"/>
    <n v="54"/>
    <n v="13606"/>
    <n v="12697"/>
    <n v="423413085"/>
    <x v="1"/>
    <n v="4.5939494709726358E-3"/>
  </r>
  <r>
    <d v="2020-04-30T00:00:00"/>
    <x v="2"/>
    <n v="214386"/>
    <n v="22530000"/>
    <n v="59"/>
    <n v="13251"/>
    <n v="12255"/>
    <n v="423413085"/>
    <x v="3"/>
    <n v="4.540179179800939E-3"/>
  </r>
  <r>
    <d v="2020-05-07T00:00:00"/>
    <x v="2"/>
    <n v="219411"/>
    <n v="22460130"/>
    <n v="59"/>
    <n v="13495"/>
    <n v="12517"/>
    <n v="423413085"/>
    <x v="1"/>
    <n v="4.5260991833831537E-3"/>
  </r>
  <r>
    <d v="2020-05-29T00:00:00"/>
    <x v="3"/>
    <n v="226476"/>
    <n v="22416151.5"/>
    <n v="54"/>
    <n v="14031"/>
    <n v="12943"/>
    <n v="423413085"/>
    <x v="0"/>
    <n v="4.5172367657152056E-3"/>
  </r>
  <r>
    <d v="2020-05-22T00:00:00"/>
    <x v="2"/>
    <n v="228334.5"/>
    <n v="22380772.5"/>
    <n v="60"/>
    <n v="14050"/>
    <n v="13027"/>
    <n v="400996933.5"/>
    <x v="2"/>
    <n v="4.51010729393526E-3"/>
  </r>
  <r>
    <d v="2020-05-16T00:00:00"/>
    <x v="3"/>
    <n v="225480"/>
    <n v="22355338.5"/>
    <n v="54"/>
    <n v="13170"/>
    <n v="12299"/>
    <n v="400996933.5"/>
    <x v="4"/>
    <n v="4.5049819092366781E-3"/>
  </r>
  <r>
    <d v="2020-05-27T00:00:00"/>
    <x v="2"/>
    <n v="215592"/>
    <n v="22342300.5"/>
    <n v="59"/>
    <n v="13942"/>
    <n v="12986"/>
    <n v="400996933.5"/>
    <x v="0"/>
    <n v="4.5023545299137198E-3"/>
  </r>
  <r>
    <d v="2020-05-21T00:00:00"/>
    <x v="2"/>
    <n v="224233.5"/>
    <n v="22253295"/>
    <n v="60"/>
    <n v="14005"/>
    <n v="13002"/>
    <n v="378654633"/>
    <x v="2"/>
    <n v="4.4844184039488826E-3"/>
  </r>
  <r>
    <d v="2020-05-06T00:00:00"/>
    <x v="3"/>
    <n v="216498"/>
    <n v="22126444.5"/>
    <n v="54"/>
    <n v="13406"/>
    <n v="12518"/>
    <n v="378654633"/>
    <x v="1"/>
    <n v="4.4588558651540607E-3"/>
  </r>
  <r>
    <d v="2020-05-20T00:00:00"/>
    <x v="2"/>
    <n v="219622.5"/>
    <n v="21959286"/>
    <n v="60"/>
    <n v="13792"/>
    <n v="12834"/>
    <n v="378654633"/>
    <x v="2"/>
    <n v="4.4251705770303705E-3"/>
  </r>
  <r>
    <d v="2020-05-19T00:00:00"/>
    <x v="2"/>
    <n v="223597.5"/>
    <n v="21945858"/>
    <n v="60"/>
    <n v="13867"/>
    <n v="12987"/>
    <n v="378654633"/>
    <x v="2"/>
    <n v="4.4224646060571629E-3"/>
  </r>
  <r>
    <d v="2020-05-05T00:00:00"/>
    <x v="2"/>
    <n v="213582"/>
    <n v="21919435.5"/>
    <n v="59"/>
    <n v="13469"/>
    <n v="12486"/>
    <n v="378654633"/>
    <x v="1"/>
    <n v="4.4171400217527558E-3"/>
  </r>
  <r>
    <d v="2020-05-15T00:00:00"/>
    <x v="3"/>
    <n v="219772.5"/>
    <n v="21895294.5"/>
    <n v="54"/>
    <n v="12791"/>
    <n v="11950"/>
    <n v="378654633"/>
    <x v="4"/>
    <n v="4.4122751986023084E-3"/>
  </r>
  <r>
    <d v="2020-04-30T00:00:00"/>
    <x v="3"/>
    <n v="206038.5"/>
    <n v="21740460"/>
    <n v="54"/>
    <n v="12817"/>
    <n v="11865"/>
    <n v="378654633"/>
    <x v="3"/>
    <n v="4.3810734066265034E-3"/>
  </r>
  <r>
    <d v="2020-04-29T00:00:00"/>
    <x v="2"/>
    <n v="208351.5"/>
    <n v="21615333"/>
    <n v="59"/>
    <n v="13186"/>
    <n v="12251"/>
    <n v="378654633"/>
    <x v="3"/>
    <n v="4.3558581824706686E-3"/>
  </r>
  <r>
    <d v="2020-05-31T00:00:00"/>
    <x v="2"/>
    <n v="215277"/>
    <n v="21585316.5"/>
    <n v="59"/>
    <n v="13684"/>
    <n v="12690"/>
    <n v="378654633"/>
    <x v="0"/>
    <n v="4.3498093458816545E-3"/>
  </r>
  <r>
    <d v="2020-05-07T00:00:00"/>
    <x v="3"/>
    <n v="209415"/>
    <n v="21463023"/>
    <n v="54"/>
    <n v="12743"/>
    <n v="11858"/>
    <n v="357069316.5"/>
    <x v="1"/>
    <n v="4.3251651202924407E-3"/>
  </r>
  <r>
    <d v="2020-05-20T00:00:00"/>
    <x v="3"/>
    <n v="214885.5"/>
    <n v="21411349.5"/>
    <n v="54"/>
    <n v="13298"/>
    <n v="12428"/>
    <n v="357069316.5"/>
    <x v="2"/>
    <n v="4.3147520289099532E-3"/>
  </r>
  <r>
    <d v="2020-04-28T00:00:00"/>
    <x v="2"/>
    <n v="204637.5"/>
    <n v="21114898.5"/>
    <n v="59"/>
    <n v="12943"/>
    <n v="12072"/>
    <n v="357069316.5"/>
    <x v="3"/>
    <n v="4.2550120973506465E-3"/>
  </r>
  <r>
    <d v="2020-05-21T00:00:00"/>
    <x v="3"/>
    <n v="213640.5"/>
    <n v="21042673.5"/>
    <n v="54"/>
    <n v="13240"/>
    <n v="12360"/>
    <n v="357069316.5"/>
    <x v="2"/>
    <n v="4.240457528275586E-3"/>
  </r>
  <r>
    <d v="2020-05-27T00:00:00"/>
    <x v="3"/>
    <n v="203532"/>
    <n v="20953324.5"/>
    <n v="54"/>
    <n v="13091"/>
    <n v="12216"/>
    <n v="357069316.5"/>
    <x v="0"/>
    <n v="4.2224521812034141E-3"/>
  </r>
  <r>
    <d v="2020-05-05T00:00:00"/>
    <x v="3"/>
    <n v="203832"/>
    <n v="20880142.5"/>
    <n v="54"/>
    <n v="12775"/>
    <n v="11887"/>
    <n v="336115992"/>
    <x v="1"/>
    <n v="4.2077047603096638E-3"/>
  </r>
  <r>
    <d v="2020-04-29T00:00:00"/>
    <x v="3"/>
    <n v="203209.5"/>
    <n v="20871391.5"/>
    <n v="54"/>
    <n v="12747"/>
    <n v="11884"/>
    <n v="336115992"/>
    <x v="3"/>
    <n v="4.2059412845882951E-3"/>
  </r>
  <r>
    <d v="2020-05-22T00:00:00"/>
    <x v="3"/>
    <n v="214428"/>
    <n v="20812585.5"/>
    <n v="54"/>
    <n v="13014"/>
    <n v="12095"/>
    <n v="336115992"/>
    <x v="2"/>
    <n v="4.1940908728329744E-3"/>
  </r>
  <r>
    <d v="2020-05-31T00:00:00"/>
    <x v="3"/>
    <n v="206758.5"/>
    <n v="20717248.5"/>
    <n v="54"/>
    <n v="13106"/>
    <n v="12164"/>
    <n v="336115992"/>
    <x v="0"/>
    <n v="4.1748788416538941E-3"/>
  </r>
  <r>
    <d v="2020-05-19T00:00:00"/>
    <x v="3"/>
    <n v="211453.5"/>
    <n v="20590072.5"/>
    <n v="54"/>
    <n v="13070"/>
    <n v="12244"/>
    <n v="315398743.5"/>
    <x v="2"/>
    <n v="4.1492507090586713E-3"/>
  </r>
  <r>
    <d v="2020-05-25T00:00:00"/>
    <x v="2"/>
    <n v="198751.5"/>
    <n v="20582743.5"/>
    <n v="59"/>
    <n v="12983"/>
    <n v="12056"/>
    <n v="315398743.5"/>
    <x v="0"/>
    <n v="4.147773790585136E-3"/>
  </r>
  <r>
    <d v="2020-05-28T00:00:00"/>
    <x v="2"/>
    <n v="199753.5"/>
    <n v="20535733.5"/>
    <n v="60"/>
    <n v="12854"/>
    <n v="11954"/>
    <n v="294816000"/>
    <x v="0"/>
    <n v="4.1383004739742862E-3"/>
  </r>
  <r>
    <d v="2020-05-18T00:00:00"/>
    <x v="2"/>
    <n v="201999"/>
    <n v="20422435.5"/>
    <n v="60"/>
    <n v="12460"/>
    <n v="11665"/>
    <n v="274280266.5"/>
    <x v="2"/>
    <n v="4.1154689950256363E-3"/>
  </r>
  <r>
    <d v="2020-04-28T00:00:00"/>
    <x v="3"/>
    <n v="195705"/>
    <n v="20003263.5"/>
    <n v="54"/>
    <n v="12306"/>
    <n v="11532"/>
    <n v="274280266.5"/>
    <x v="3"/>
    <n v="4.0309986893374197E-3"/>
  </r>
  <r>
    <d v="2020-05-24T00:00:00"/>
    <x v="2"/>
    <n v="200029.5"/>
    <n v="19959801"/>
    <n v="60"/>
    <n v="12822"/>
    <n v="11916"/>
    <n v="274280266.5"/>
    <x v="2"/>
    <n v="4.0222402544682631E-3"/>
  </r>
  <r>
    <d v="2020-05-14T00:00:00"/>
    <x v="2"/>
    <n v="197946"/>
    <n v="19942435.5"/>
    <n v="60"/>
    <n v="11935"/>
    <n v="11178"/>
    <n v="274280266.5"/>
    <x v="4"/>
    <n v="4.0187408101031129E-3"/>
  </r>
  <r>
    <d v="2020-05-18T00:00:00"/>
    <x v="3"/>
    <n v="196560"/>
    <n v="19855122"/>
    <n v="54"/>
    <n v="12012"/>
    <n v="11308"/>
    <n v="274280266.5"/>
    <x v="2"/>
    <n v="4.0011456509901275E-3"/>
  </r>
  <r>
    <d v="2020-05-25T00:00:00"/>
    <x v="3"/>
    <n v="192948"/>
    <n v="19806927"/>
    <n v="54"/>
    <n v="12336"/>
    <n v="11519"/>
    <n v="274280266.5"/>
    <x v="0"/>
    <n v="3.9914335366727505E-3"/>
  </r>
  <r>
    <d v="2020-05-02T00:00:00"/>
    <x v="2"/>
    <n v="185979"/>
    <n v="19625364"/>
    <n v="59"/>
    <n v="12429"/>
    <n v="11477"/>
    <n v="254473339.5"/>
    <x v="3"/>
    <n v="3.9548454961746502E-3"/>
  </r>
  <r>
    <d v="2020-05-28T00:00:00"/>
    <x v="3"/>
    <n v="191641.5"/>
    <n v="19549036.5"/>
    <n v="54"/>
    <n v="12409"/>
    <n v="11582"/>
    <n v="254473339.5"/>
    <x v="0"/>
    <n v="3.9394642033940795E-3"/>
  </r>
  <r>
    <d v="2020-05-17T00:00:00"/>
    <x v="2"/>
    <n v="193363.5"/>
    <n v="19546386"/>
    <n v="60"/>
    <n v="11698"/>
    <n v="10989"/>
    <n v="234924303"/>
    <x v="4"/>
    <n v="3.938930082447961E-3"/>
  </r>
  <r>
    <d v="2020-06-01T00:00:00"/>
    <x v="2"/>
    <n v="188776.5"/>
    <n v="19465372.5"/>
    <n v="59"/>
    <n v="12299"/>
    <n v="11448"/>
    <n v="234924303"/>
    <x v="5"/>
    <n v="3.9226044807620843E-3"/>
  </r>
  <r>
    <d v="2020-05-13T00:00:00"/>
    <x v="2"/>
    <n v="193722"/>
    <n v="19437273"/>
    <n v="60"/>
    <n v="12007"/>
    <n v="11245"/>
    <n v="234924303"/>
    <x v="4"/>
    <n v="3.9169419523616038E-3"/>
  </r>
  <r>
    <d v="2020-05-09T00:00:00"/>
    <x v="2"/>
    <n v="188319"/>
    <n v="19218631.5"/>
    <n v="59"/>
    <n v="12016"/>
    <n v="11137"/>
    <n v="234924303"/>
    <x v="1"/>
    <n v="3.8728819618538165E-3"/>
  </r>
  <r>
    <d v="2020-05-12T00:00:00"/>
    <x v="2"/>
    <n v="192886.5"/>
    <n v="19205179.5"/>
    <n v="60"/>
    <n v="12000"/>
    <n v="11194"/>
    <n v="234924303"/>
    <x v="4"/>
    <n v="3.8701711544713627E-3"/>
  </r>
  <r>
    <d v="2020-05-24T00:00:00"/>
    <x v="3"/>
    <n v="193719"/>
    <n v="19071117"/>
    <n v="54"/>
    <n v="12211"/>
    <n v="11427"/>
    <n v="234924303"/>
    <x v="2"/>
    <n v="3.8431552746980798E-3"/>
  </r>
  <r>
    <d v="2020-06-01T00:00:00"/>
    <x v="3"/>
    <n v="183228"/>
    <n v="18914194.5"/>
    <n v="54"/>
    <n v="11864"/>
    <n v="11071"/>
    <n v="234924303"/>
    <x v="5"/>
    <n v="3.8115327151178619E-3"/>
  </r>
  <r>
    <d v="2020-05-13T00:00:00"/>
    <x v="3"/>
    <n v="188662.5"/>
    <n v="18784000.5"/>
    <n v="54"/>
    <n v="11522"/>
    <n v="10803"/>
    <n v="234924303"/>
    <x v="4"/>
    <n v="3.7852964040599388E-3"/>
  </r>
  <r>
    <d v="2020-05-12T00:00:00"/>
    <x v="3"/>
    <n v="189679.5"/>
    <n v="18718036.5"/>
    <n v="54"/>
    <n v="11614"/>
    <n v="10862"/>
    <n v="234924303"/>
    <x v="4"/>
    <n v="3.7720035332469612E-3"/>
  </r>
  <r>
    <d v="2020-05-14T00:00:00"/>
    <x v="3"/>
    <n v="186496.5"/>
    <n v="18640998"/>
    <n v="54"/>
    <n v="11194"/>
    <n v="10554"/>
    <n v="234924303"/>
    <x v="4"/>
    <n v="3.7564789618424739E-3"/>
  </r>
  <r>
    <d v="2020-05-02T00:00:00"/>
    <x v="3"/>
    <n v="176397"/>
    <n v="18625921.5"/>
    <n v="54"/>
    <n v="11622"/>
    <n v="10754"/>
    <n v="234924303"/>
    <x v="3"/>
    <n v="3.7534407900091733E-3"/>
  </r>
  <r>
    <d v="2020-05-17T00:00:00"/>
    <x v="3"/>
    <n v="184801.5"/>
    <n v="18449091"/>
    <n v="54"/>
    <n v="11128"/>
    <n v="10467"/>
    <n v="234924303"/>
    <x v="4"/>
    <n v="3.7178064289592936E-3"/>
  </r>
  <r>
    <d v="2020-05-09T00:00:00"/>
    <x v="3"/>
    <n v="177976.5"/>
    <n v="18085798.5"/>
    <n v="54"/>
    <n v="11288"/>
    <n v="10492"/>
    <n v="234924303"/>
    <x v="1"/>
    <n v="3.6445967953739481E-3"/>
  </r>
  <r>
    <d v="2020-05-11T00:00:00"/>
    <x v="2"/>
    <n v="175293"/>
    <n v="17919144"/>
    <n v="60"/>
    <n v="11100"/>
    <n v="10407"/>
    <n v="234924303"/>
    <x v="4"/>
    <n v="3.611013071844426E-3"/>
  </r>
  <r>
    <d v="2020-05-11T00:00:00"/>
    <x v="3"/>
    <n v="166948.5"/>
    <n v="16971231"/>
    <n v="54"/>
    <n v="10570"/>
    <n v="9926"/>
    <n v="234924303"/>
    <x v="4"/>
    <n v="3.4199924386059594E-3"/>
  </r>
  <r>
    <d v="2020-05-30T00:00:00"/>
    <x v="4"/>
    <n v="108123"/>
    <n v="9164707.5"/>
    <n v="31"/>
    <n v="6735"/>
    <n v="6264"/>
    <n v="234924303"/>
    <x v="0"/>
    <n v="1.8468448371267428E-3"/>
  </r>
  <r>
    <d v="2020-05-30T00:00:00"/>
    <x v="5"/>
    <n v="106926"/>
    <n v="9098386.5"/>
    <n v="37"/>
    <n v="6645"/>
    <n v="6122"/>
    <n v="225759595.5"/>
    <x v="0"/>
    <n v="1.8334800247262288E-3"/>
  </r>
  <r>
    <d v="2020-05-01T00:00:00"/>
    <x v="4"/>
    <n v="97534.5"/>
    <n v="8893024.5"/>
    <n v="31"/>
    <n v="6118"/>
    <n v="5564"/>
    <n v="216661209"/>
    <x v="3"/>
    <n v="1.7920960799094386E-3"/>
  </r>
  <r>
    <d v="2020-05-23T00:00:00"/>
    <x v="4"/>
    <n v="102889.5"/>
    <n v="8089143"/>
    <n v="31"/>
    <n v="6276"/>
    <n v="5801"/>
    <n v="216661209"/>
    <x v="2"/>
    <n v="1.6301002499348649E-3"/>
  </r>
  <r>
    <d v="2020-05-22T00:00:00"/>
    <x v="4"/>
    <n v="97963.5"/>
    <n v="7728465"/>
    <n v="31"/>
    <n v="5965"/>
    <n v="5533"/>
    <n v="216661209"/>
    <x v="2"/>
    <n v="1.5574174826817693E-3"/>
  </r>
  <r>
    <d v="2020-05-10T00:00:00"/>
    <x v="5"/>
    <n v="88311"/>
    <n v="7726069.5"/>
    <n v="36"/>
    <n v="5746"/>
    <n v="5277"/>
    <n v="216661209"/>
    <x v="1"/>
    <n v="1.5569347485838905E-3"/>
  </r>
  <r>
    <d v="2020-05-16T00:00:00"/>
    <x v="4"/>
    <n v="88063.5"/>
    <n v="7583758.5"/>
    <n v="31"/>
    <n v="5593"/>
    <n v="5177"/>
    <n v="216661209"/>
    <x v="4"/>
    <n v="1.5282566554078295E-3"/>
  </r>
  <r>
    <d v="2020-05-31T00:00:00"/>
    <x v="4"/>
    <n v="89149.5"/>
    <n v="7512646.5"/>
    <n v="31"/>
    <n v="5760"/>
    <n v="5367"/>
    <n v="216661209"/>
    <x v="0"/>
    <n v="1.5139263748115577E-3"/>
  </r>
  <r>
    <d v="2020-05-10T00:00:00"/>
    <x v="4"/>
    <n v="84132"/>
    <n v="7483194"/>
    <n v="31"/>
    <n v="5495"/>
    <n v="5093"/>
    <n v="209148562.5"/>
    <x v="1"/>
    <n v="1.5079911938398272E-3"/>
  </r>
  <r>
    <d v="2020-05-29T00:00:00"/>
    <x v="4"/>
    <n v="87552"/>
    <n v="7387116"/>
    <n v="31"/>
    <n v="5751"/>
    <n v="5319"/>
    <n v="209148562.5"/>
    <x v="0"/>
    <n v="1.4886298385252726E-3"/>
  </r>
  <r>
    <d v="2020-05-09T00:00:00"/>
    <x v="5"/>
    <n v="83373"/>
    <n v="7253427"/>
    <n v="36"/>
    <n v="5413"/>
    <n v="4959"/>
    <n v="201761446.5"/>
    <x v="1"/>
    <n v="1.4616892253708825E-3"/>
  </r>
  <r>
    <d v="2020-05-20T00:00:00"/>
    <x v="4"/>
    <n v="93313.5"/>
    <n v="7247575.5"/>
    <n v="31"/>
    <n v="5698"/>
    <n v="5258"/>
    <n v="201761446.5"/>
    <x v="2"/>
    <n v="1.4605100483415614E-3"/>
  </r>
  <r>
    <d v="2020-05-29T00:00:00"/>
    <x v="5"/>
    <n v="84433.5"/>
    <n v="7228395"/>
    <n v="37"/>
    <n v="5672"/>
    <n v="5198"/>
    <n v="201761446.5"/>
    <x v="0"/>
    <n v="1.456644850527173E-3"/>
  </r>
  <r>
    <d v="2020-04-29T00:00:00"/>
    <x v="4"/>
    <n v="79527"/>
    <n v="7180498.5"/>
    <n v="31"/>
    <n v="5378"/>
    <n v="4985"/>
    <n v="194533051.5"/>
    <x v="3"/>
    <n v="1.4469928890497945E-3"/>
  </r>
  <r>
    <d v="2020-05-23T00:00:00"/>
    <x v="5"/>
    <n v="89556"/>
    <n v="7173117"/>
    <n v="36"/>
    <n v="5651"/>
    <n v="5212"/>
    <n v="194533051.5"/>
    <x v="2"/>
    <n v="1.4455053909310329E-3"/>
  </r>
  <r>
    <d v="2020-04-28T00:00:00"/>
    <x v="4"/>
    <n v="81826.5"/>
    <n v="7163644.5"/>
    <n v="31"/>
    <n v="5465"/>
    <n v="5096"/>
    <n v="194533051.5"/>
    <x v="3"/>
    <n v="1.4435965206567025E-3"/>
  </r>
  <r>
    <d v="2020-05-20T00:00:00"/>
    <x v="5"/>
    <n v="99631.5"/>
    <n v="7121946"/>
    <n v="36"/>
    <n v="5914"/>
    <n v="5384"/>
    <n v="194533051.5"/>
    <x v="2"/>
    <n v="1.4351935618671361E-3"/>
  </r>
  <r>
    <d v="2020-05-01T00:00:00"/>
    <x v="5"/>
    <n v="82228.5"/>
    <n v="7032225"/>
    <n v="36"/>
    <n v="5457"/>
    <n v="4916"/>
    <n v="194533051.5"/>
    <x v="3"/>
    <n v="1.4171132504516492E-3"/>
  </r>
  <r>
    <d v="2020-04-30T00:00:00"/>
    <x v="4"/>
    <n v="77565"/>
    <n v="7023727.5"/>
    <n v="31"/>
    <n v="5120"/>
    <n v="4737"/>
    <n v="194533051.5"/>
    <x v="3"/>
    <n v="1.4154008593029426E-3"/>
  </r>
  <r>
    <d v="2020-05-03T00:00:00"/>
    <x v="4"/>
    <n v="77263.5"/>
    <n v="7013670"/>
    <n v="31"/>
    <n v="5155"/>
    <n v="4762"/>
    <n v="194533051.5"/>
    <x v="3"/>
    <n v="1.4133741015532378E-3"/>
  </r>
  <r>
    <d v="2020-05-13T00:00:00"/>
    <x v="4"/>
    <n v="78846"/>
    <n v="6993952.5"/>
    <n v="31"/>
    <n v="5251"/>
    <n v="4853"/>
    <n v="194533051.5"/>
    <x v="4"/>
    <n v="1.4094006890819674E-3"/>
  </r>
  <r>
    <d v="2020-05-05T00:00:00"/>
    <x v="4"/>
    <n v="76585.5"/>
    <n v="6921316.5"/>
    <n v="31"/>
    <n v="5188"/>
    <n v="4800"/>
    <n v="194533051.5"/>
    <x v="1"/>
    <n v="1.3947632964985666E-3"/>
  </r>
  <r>
    <d v="2020-05-15T00:00:00"/>
    <x v="4"/>
    <n v="78961.5"/>
    <n v="6876454.5"/>
    <n v="31"/>
    <n v="5184"/>
    <n v="4778"/>
    <n v="194533051.5"/>
    <x v="4"/>
    <n v="1.3857228385152451E-3"/>
  </r>
  <r>
    <d v="2020-06-01T00:00:00"/>
    <x v="4"/>
    <n v="77269.5"/>
    <n v="6829921.5"/>
    <n v="31"/>
    <n v="5468"/>
    <n v="5081"/>
    <n v="194533051.5"/>
    <x v="5"/>
    <n v="1.3763456455381624E-3"/>
  </r>
  <r>
    <d v="2020-04-30T00:00:00"/>
    <x v="5"/>
    <n v="78235.5"/>
    <n v="6819594"/>
    <n v="36"/>
    <n v="5143"/>
    <n v="4715"/>
    <n v="194533051.5"/>
    <x v="3"/>
    <n v="1.3742644781844387E-3"/>
  </r>
  <r>
    <d v="2020-05-19T00:00:00"/>
    <x v="4"/>
    <n v="84024"/>
    <n v="6815511"/>
    <n v="31"/>
    <n v="5389"/>
    <n v="5024"/>
    <n v="194533051.5"/>
    <x v="2"/>
    <n v="1.3734416840614414E-3"/>
  </r>
  <r>
    <d v="2020-05-17T00:00:00"/>
    <x v="4"/>
    <n v="78057"/>
    <n v="6774946.5"/>
    <n v="31"/>
    <n v="5206"/>
    <n v="4843"/>
    <n v="194533051.5"/>
    <x v="4"/>
    <n v="1.3652672456087546E-3"/>
  </r>
  <r>
    <d v="2020-05-27T00:00:00"/>
    <x v="4"/>
    <n v="78544.5"/>
    <n v="6701083.5"/>
    <n v="31"/>
    <n v="5330"/>
    <n v="4977"/>
    <n v="194533051.5"/>
    <x v="0"/>
    <n v="1.3503825916026456E-3"/>
  </r>
  <r>
    <d v="2020-05-26T00:00:00"/>
    <x v="4"/>
    <n v="79975.5"/>
    <n v="6676459.5"/>
    <n v="31"/>
    <n v="5493"/>
    <n v="5119"/>
    <n v="187831968"/>
    <x v="0"/>
    <n v="1.34542043571612E-3"/>
  </r>
  <r>
    <d v="2020-05-16T00:00:00"/>
    <x v="5"/>
    <n v="81331.5"/>
    <n v="6652179"/>
    <n v="36"/>
    <n v="5286"/>
    <n v="4867"/>
    <n v="181155508.5"/>
    <x v="4"/>
    <n v="1.34052750093693E-3"/>
  </r>
  <r>
    <d v="2020-05-25T00:00:00"/>
    <x v="4"/>
    <n v="76999.5"/>
    <n v="6645603"/>
    <n v="31"/>
    <n v="5210"/>
    <n v="4841"/>
    <n v="181155508.5"/>
    <x v="0"/>
    <n v="1.3392023248034912E-3"/>
  </r>
  <r>
    <d v="2020-05-04T00:00:00"/>
    <x v="4"/>
    <n v="72928.5"/>
    <n v="6642249"/>
    <n v="31"/>
    <n v="4968"/>
    <n v="4596"/>
    <n v="174509905.5"/>
    <x v="1"/>
    <n v="1.3385264366113452E-3"/>
  </r>
  <r>
    <d v="2020-05-28T00:00:00"/>
    <x v="4"/>
    <n v="78141"/>
    <n v="6641569.5"/>
    <n v="31"/>
    <n v="5355"/>
    <n v="4969"/>
    <n v="174509905.5"/>
    <x v="0"/>
    <n v="1.3383895057745641E-3"/>
  </r>
  <r>
    <d v="2020-05-21T00:00:00"/>
    <x v="4"/>
    <n v="79485"/>
    <n v="6633847.5"/>
    <n v="31"/>
    <n v="5207"/>
    <n v="4868"/>
    <n v="167868336"/>
    <x v="2"/>
    <n v="1.3368333910996231E-3"/>
  </r>
  <r>
    <d v="2020-05-18T00:00:00"/>
    <x v="4"/>
    <n v="78058.5"/>
    <n v="6609714"/>
    <n v="31"/>
    <n v="5165"/>
    <n v="4813"/>
    <n v="167868336"/>
    <x v="2"/>
    <n v="1.3319700793270653E-3"/>
  </r>
  <r>
    <d v="2020-05-07T00:00:00"/>
    <x v="4"/>
    <n v="73204.5"/>
    <n v="6591883.5"/>
    <n v="31"/>
    <n v="4903"/>
    <n v="4527"/>
    <n v="167868336"/>
    <x v="1"/>
    <n v="1.3283769295327715E-3"/>
  </r>
  <r>
    <d v="2020-05-31T00:00:00"/>
    <x v="5"/>
    <n v="76234.5"/>
    <n v="6500848.5"/>
    <n v="37"/>
    <n v="5215"/>
    <n v="4848"/>
    <n v="167868336"/>
    <x v="0"/>
    <n v="1.3100318247110591E-3"/>
  </r>
  <r>
    <d v="2020-04-29T00:00:00"/>
    <x v="5"/>
    <n v="74707.5"/>
    <n v="6454458"/>
    <n v="36"/>
    <n v="4937"/>
    <n v="4561"/>
    <n v="161367487.5"/>
    <x v="3"/>
    <n v="1.3006833479138752E-3"/>
  </r>
  <r>
    <d v="2020-05-24T00:00:00"/>
    <x v="4"/>
    <n v="76663.5"/>
    <n v="6451032"/>
    <n v="31"/>
    <n v="5035"/>
    <n v="4683"/>
    <n v="161367487.5"/>
    <x v="2"/>
    <n v="1.2999929504939906E-3"/>
  </r>
  <r>
    <d v="2020-05-11T00:00:00"/>
    <x v="4"/>
    <n v="72220.5"/>
    <n v="6398719.5"/>
    <n v="31"/>
    <n v="4826"/>
    <n v="4483"/>
    <n v="161367487.5"/>
    <x v="4"/>
    <n v="1.2894510897153251E-3"/>
  </r>
  <r>
    <d v="2020-05-12T00:00:00"/>
    <x v="4"/>
    <n v="71520"/>
    <n v="6398361"/>
    <n v="31"/>
    <n v="4800"/>
    <n v="4470"/>
    <n v="161367487.5"/>
    <x v="4"/>
    <n v="1.2893788458522111E-3"/>
  </r>
  <r>
    <d v="2020-05-13T00:00:00"/>
    <x v="5"/>
    <n v="73062"/>
    <n v="6333828"/>
    <n v="36"/>
    <n v="4967"/>
    <n v="4583"/>
    <n v="161367487.5"/>
    <x v="4"/>
    <n v="1.2763743459405336E-3"/>
  </r>
  <r>
    <d v="2020-05-15T00:00:00"/>
    <x v="5"/>
    <n v="75642"/>
    <n v="6293952"/>
    <n v="36"/>
    <n v="4862"/>
    <n v="4476"/>
    <n v="161367487.5"/>
    <x v="4"/>
    <n v="1.2683386519780949E-3"/>
  </r>
  <r>
    <d v="2020-05-08T00:00:00"/>
    <x v="4"/>
    <n v="69544.5"/>
    <n v="6293776.5"/>
    <n v="31"/>
    <n v="4635"/>
    <n v="4266"/>
    <n v="161367487.5"/>
    <x v="1"/>
    <n v="1.2683032857354827E-3"/>
  </r>
  <r>
    <d v="2020-04-28T00:00:00"/>
    <x v="5"/>
    <n v="73147.5"/>
    <n v="6288246"/>
    <n v="36"/>
    <n v="4923"/>
    <n v="4560"/>
    <n v="161367487.5"/>
    <x v="3"/>
    <n v="1.2671887956798285E-3"/>
  </r>
  <r>
    <d v="2020-05-09T00:00:00"/>
    <x v="4"/>
    <n v="69720"/>
    <n v="6264933"/>
    <n v="31"/>
    <n v="4556"/>
    <n v="4220"/>
    <n v="161367487.5"/>
    <x v="1"/>
    <n v="1.2624908286483726E-3"/>
  </r>
  <r>
    <d v="2020-05-03T00:00:00"/>
    <x v="5"/>
    <n v="70581"/>
    <n v="6221320.5"/>
    <n v="36"/>
    <n v="4751"/>
    <n v="4370"/>
    <n v="161367487.5"/>
    <x v="3"/>
    <n v="1.2537021662214277E-3"/>
  </r>
  <r>
    <d v="2020-05-07T00:00:00"/>
    <x v="5"/>
    <n v="71067"/>
    <n v="6175837.5"/>
    <n v="36"/>
    <n v="4826"/>
    <n v="4426"/>
    <n v="161367487.5"/>
    <x v="1"/>
    <n v="1.2445365661488629E-3"/>
  </r>
  <r>
    <d v="2020-05-19T00:00:00"/>
    <x v="5"/>
    <n v="75796.5"/>
    <n v="6173463"/>
    <n v="36"/>
    <n v="5094"/>
    <n v="4716"/>
    <n v="161367487.5"/>
    <x v="2"/>
    <n v="1.2440580639090744E-3"/>
  </r>
  <r>
    <d v="2020-05-06T00:00:00"/>
    <x v="4"/>
    <n v="68994"/>
    <n v="6168657"/>
    <n v="31"/>
    <n v="4709"/>
    <n v="4348"/>
    <n v="161367487.5"/>
    <x v="1"/>
    <n v="1.2430895729575375E-3"/>
  </r>
  <r>
    <d v="2020-05-28T00:00:00"/>
    <x v="5"/>
    <n v="69945"/>
    <n v="6101931"/>
    <n v="37"/>
    <n v="4840"/>
    <n v="4475"/>
    <n v="161367487.5"/>
    <x v="0"/>
    <n v="1.2296431461509953E-3"/>
  </r>
  <r>
    <d v="2020-05-24T00:00:00"/>
    <x v="5"/>
    <n v="74649"/>
    <n v="6098236.5"/>
    <n v="36"/>
    <n v="4915"/>
    <n v="4562"/>
    <n v="155265556.5"/>
    <x v="2"/>
    <n v="1.2288986414026697E-3"/>
  </r>
  <r>
    <d v="2020-05-14T00:00:00"/>
    <x v="4"/>
    <n v="70498.5"/>
    <n v="6053649"/>
    <n v="31"/>
    <n v="4695"/>
    <n v="4372"/>
    <n v="155265556.5"/>
    <x v="4"/>
    <n v="1.219913499850101E-3"/>
  </r>
  <r>
    <d v="2020-05-27T00:00:00"/>
    <x v="5"/>
    <n v="69010.5"/>
    <n v="5985894"/>
    <n v="36"/>
    <n v="4951"/>
    <n v="4584"/>
    <n v="155265556.5"/>
    <x v="0"/>
    <n v="1.2062597119971311E-3"/>
  </r>
  <r>
    <d v="2020-05-17T00:00:00"/>
    <x v="5"/>
    <n v="72861"/>
    <n v="5952802.5"/>
    <n v="36"/>
    <n v="4918"/>
    <n v="4554"/>
    <n v="149279662.5"/>
    <x v="4"/>
    <n v="1.1995912104734567E-3"/>
  </r>
  <r>
    <d v="2020-05-22T00:00:00"/>
    <x v="5"/>
    <n v="75820.5"/>
    <n v="5943489"/>
    <n v="36"/>
    <n v="4857"/>
    <n v="4456"/>
    <n v="149279662.5"/>
    <x v="2"/>
    <n v="1.1977143814103819E-3"/>
  </r>
  <r>
    <d v="2020-05-26T00:00:00"/>
    <x v="5"/>
    <n v="67726.5"/>
    <n v="5864989.5"/>
    <n v="36"/>
    <n v="4770"/>
    <n v="4424"/>
    <n v="149279662.5"/>
    <x v="0"/>
    <n v="1.1818953935930367E-3"/>
  </r>
  <r>
    <d v="2020-05-21T00:00:00"/>
    <x v="5"/>
    <n v="73126.5"/>
    <n v="5864085"/>
    <n v="36"/>
    <n v="4816"/>
    <n v="4452"/>
    <n v="143414673"/>
    <x v="2"/>
    <n v="1.1817131214195734E-3"/>
  </r>
  <r>
    <d v="2020-06-01T00:00:00"/>
    <x v="5"/>
    <n v="64740"/>
    <n v="5800290"/>
    <n v="37"/>
    <n v="4722"/>
    <n v="4352"/>
    <n v="143414673"/>
    <x v="5"/>
    <n v="1.1688573410922143E-3"/>
  </r>
  <r>
    <d v="2020-05-18T00:00:00"/>
    <x v="5"/>
    <n v="70278"/>
    <n v="5798476.5"/>
    <n v="36"/>
    <n v="4885"/>
    <n v="4502"/>
    <n v="143414673"/>
    <x v="2"/>
    <n v="1.1684918899185538E-3"/>
  </r>
  <r>
    <d v="2020-05-05T00:00:00"/>
    <x v="5"/>
    <n v="66396"/>
    <n v="5770539"/>
    <n v="36"/>
    <n v="4575"/>
    <n v="4206"/>
    <n v="143414673"/>
    <x v="1"/>
    <n v="1.1628620072804852E-3"/>
  </r>
  <r>
    <d v="2020-05-25T00:00:00"/>
    <x v="5"/>
    <n v="66316.5"/>
    <n v="5704650"/>
    <n v="36"/>
    <n v="4641"/>
    <n v="4274"/>
    <n v="143414673"/>
    <x v="0"/>
    <n v="1.1495842502464014E-3"/>
  </r>
  <r>
    <d v="2020-05-04T00:00:00"/>
    <x v="5"/>
    <n v="64108.5"/>
    <n v="5561452.5"/>
    <n v="36"/>
    <n v="4508"/>
    <n v="4149"/>
    <n v="137710023"/>
    <x v="1"/>
    <n v="1.1207275122038119E-3"/>
  </r>
  <r>
    <d v="2020-05-02T00:00:00"/>
    <x v="4"/>
    <n v="60463.5"/>
    <n v="5554192.5"/>
    <n v="31"/>
    <n v="4157"/>
    <n v="3823"/>
    <n v="137710023"/>
    <x v="3"/>
    <n v="1.1192644984068588E-3"/>
  </r>
  <r>
    <d v="2020-05-12T00:00:00"/>
    <x v="5"/>
    <n v="64390.5"/>
    <n v="5523145.5"/>
    <n v="36"/>
    <n v="4418"/>
    <n v="4088"/>
    <n v="137710023"/>
    <x v="4"/>
    <n v="1.1130079984958388E-3"/>
  </r>
  <r>
    <d v="2020-05-06T00:00:00"/>
    <x v="5"/>
    <n v="63012"/>
    <n v="5454121.5"/>
    <n v="36"/>
    <n v="4384"/>
    <n v="4025"/>
    <n v="137710023"/>
    <x v="1"/>
    <n v="1.0990984855039799E-3"/>
  </r>
  <r>
    <d v="2020-05-14T00:00:00"/>
    <x v="5"/>
    <n v="63645"/>
    <n v="5366602.5"/>
    <n v="36"/>
    <n v="4285"/>
    <n v="3950"/>
    <n v="137710023"/>
    <x v="4"/>
    <n v="1.081461914636825E-3"/>
  </r>
  <r>
    <d v="2020-05-08T00:00:00"/>
    <x v="5"/>
    <n v="61804.5"/>
    <n v="5365708.5"/>
    <n v="36"/>
    <n v="4199"/>
    <n v="3867"/>
    <n v="137710023"/>
    <x v="1"/>
    <n v="1.0812817583924067E-3"/>
  </r>
  <r>
    <d v="2020-05-11T00:00:00"/>
    <x v="5"/>
    <n v="59574"/>
    <n v="5178169.5"/>
    <n v="36"/>
    <n v="4150"/>
    <n v="3838"/>
    <n v="137710023"/>
    <x v="4"/>
    <n v="1.0434894519920212E-3"/>
  </r>
  <r>
    <d v="2020-05-22T00:00:00"/>
    <x v="6"/>
    <n v="53838"/>
    <n v="4840833"/>
    <n v="21"/>
    <n v="2861"/>
    <n v="2612"/>
    <n v="137710023"/>
    <x v="2"/>
    <n v="9.7551039500636124E-4"/>
  </r>
  <r>
    <d v="2020-05-30T00:00:00"/>
    <x v="6"/>
    <n v="48286.5"/>
    <n v="4456441.5"/>
    <n v="22"/>
    <n v="2793"/>
    <n v="2539"/>
    <n v="137710023"/>
    <x v="0"/>
    <n v="8.9804895314251514E-4"/>
  </r>
  <r>
    <d v="2020-05-01T00:00:00"/>
    <x v="6"/>
    <n v="46620"/>
    <n v="4293241.5"/>
    <n v="20"/>
    <n v="2468"/>
    <n v="2221"/>
    <n v="133253581.5"/>
    <x v="3"/>
    <n v="8.6516137026885717E-4"/>
  </r>
  <r>
    <d v="2020-05-02T00:00:00"/>
    <x v="5"/>
    <n v="46216.5"/>
    <n v="4118251.5"/>
    <n v="36"/>
    <n v="3442"/>
    <n v="3147"/>
    <n v="133253581.5"/>
    <x v="3"/>
    <n v="8.2989790135303975E-4"/>
  </r>
  <r>
    <d v="2020-05-29T00:00:00"/>
    <x v="6"/>
    <n v="44569.5"/>
    <n v="4108596"/>
    <n v="22"/>
    <n v="2597"/>
    <n v="2379"/>
    <n v="133253581.5"/>
    <x v="0"/>
    <n v="8.2795215345820769E-4"/>
  </r>
  <r>
    <d v="2020-05-16T00:00:00"/>
    <x v="6"/>
    <n v="44560.5"/>
    <n v="4025148"/>
    <n v="21"/>
    <n v="2427"/>
    <n v="2213"/>
    <n v="129144985.5"/>
    <x v="4"/>
    <n v="8.1113595850942693E-4"/>
  </r>
  <r>
    <d v="2020-05-31T00:00:00"/>
    <x v="6"/>
    <n v="42423"/>
    <n v="3994153.5"/>
    <n v="23"/>
    <n v="2522"/>
    <n v="2295"/>
    <n v="129144985.5"/>
    <x v="0"/>
    <n v="8.0489003824363292E-4"/>
  </r>
  <r>
    <d v="2020-05-30T00:00:00"/>
    <x v="7"/>
    <n v="44001"/>
    <n v="3921784.5"/>
    <n v="20"/>
    <n v="2597"/>
    <n v="2376"/>
    <n v="125150832"/>
    <x v="0"/>
    <n v="7.9030645071309516E-4"/>
  </r>
  <r>
    <d v="2020-05-20T00:00:00"/>
    <x v="6"/>
    <n v="41391"/>
    <n v="3918987"/>
    <n v="21"/>
    <n v="2410"/>
    <n v="2202"/>
    <n v="121229047.5"/>
    <x v="2"/>
    <n v="7.8974270676034368E-4"/>
  </r>
  <r>
    <d v="2020-05-11T00:00:00"/>
    <x v="8"/>
    <n v="42397.5"/>
    <n v="3911979"/>
    <n v="19"/>
    <n v="2530"/>
    <n v="2270"/>
    <n v="121229047.5"/>
    <x v="4"/>
    <n v="7.8833047526047481E-4"/>
  </r>
  <r>
    <d v="2020-05-28T00:00:00"/>
    <x v="6"/>
    <n v="41442"/>
    <n v="3893680.5"/>
    <n v="22"/>
    <n v="2454"/>
    <n v="2239"/>
    <n v="121229047.5"/>
    <x v="0"/>
    <n v="7.8464301548588147E-4"/>
  </r>
  <r>
    <d v="2020-05-23T00:00:00"/>
    <x v="6"/>
    <n v="42999"/>
    <n v="3883215"/>
    <n v="21"/>
    <n v="2460"/>
    <n v="2226"/>
    <n v="117335367"/>
    <x v="2"/>
    <n v="7.8253403877899259E-4"/>
  </r>
  <r>
    <d v="2020-06-01T00:00:00"/>
    <x v="6"/>
    <n v="40528.5"/>
    <n v="3865251"/>
    <n v="23"/>
    <n v="2531"/>
    <n v="2296"/>
    <n v="117335367"/>
    <x v="5"/>
    <n v="7.7891398645826718E-4"/>
  </r>
  <r>
    <d v="2020-05-21T00:00:00"/>
    <x v="6"/>
    <n v="40819.5"/>
    <n v="3810394.5"/>
    <n v="21"/>
    <n v="2335"/>
    <n v="2126"/>
    <n v="117335367"/>
    <x v="2"/>
    <n v="7.678594662995121E-4"/>
  </r>
  <r>
    <d v="2020-05-27T00:00:00"/>
    <x v="6"/>
    <n v="40420.5"/>
    <n v="3780852"/>
    <n v="21"/>
    <n v="2430"/>
    <n v="2216"/>
    <n v="117335367"/>
    <x v="0"/>
    <n v="7.6190614879310871E-4"/>
  </r>
  <r>
    <d v="2020-05-15T00:00:00"/>
    <x v="6"/>
    <n v="41697"/>
    <n v="3772258.5"/>
    <n v="21"/>
    <n v="2255"/>
    <n v="2045"/>
    <n v="113554515"/>
    <x v="4"/>
    <n v="7.6017441200741762E-4"/>
  </r>
  <r>
    <d v="2020-05-26T00:00:00"/>
    <x v="6"/>
    <n v="40744.5"/>
    <n v="3700311"/>
    <n v="21"/>
    <n v="2418"/>
    <n v="2215"/>
    <n v="113554515"/>
    <x v="0"/>
    <n v="7.4567576391426508E-4"/>
  </r>
  <r>
    <d v="2020-05-30T00:00:00"/>
    <x v="8"/>
    <n v="39867"/>
    <n v="3654166.5"/>
    <n v="20"/>
    <n v="2451"/>
    <n v="2178"/>
    <n v="109854204"/>
    <x v="0"/>
    <n v="7.3637686031185383E-4"/>
  </r>
  <r>
    <d v="2020-05-23T00:00:00"/>
    <x v="7"/>
    <n v="42703.5"/>
    <n v="3628726.5"/>
    <n v="21"/>
    <n v="2340"/>
    <n v="2146"/>
    <n v="106200037.5"/>
    <x v="2"/>
    <n v="7.3125026651096013E-4"/>
  </r>
  <r>
    <d v="2020-05-25T00:00:00"/>
    <x v="6"/>
    <n v="38740.5"/>
    <n v="3561655.5"/>
    <n v="21"/>
    <n v="2330"/>
    <n v="2142"/>
    <n v="106200037.5"/>
    <x v="0"/>
    <n v="7.1773431632150483E-4"/>
  </r>
  <r>
    <d v="2020-05-19T00:00:00"/>
    <x v="6"/>
    <n v="38250"/>
    <n v="3552937.5"/>
    <n v="21"/>
    <n v="2245"/>
    <n v="2053"/>
    <n v="102638382"/>
    <x v="2"/>
    <n v="7.1597749066284945E-4"/>
  </r>
  <r>
    <d v="2020-05-10T00:00:00"/>
    <x v="6"/>
    <n v="37489.5"/>
    <n v="3549097.5"/>
    <n v="21"/>
    <n v="2120"/>
    <n v="1921"/>
    <n v="102638382"/>
    <x v="1"/>
    <n v="7.1520366518346926E-4"/>
  </r>
  <r>
    <d v="2020-05-31T00:00:00"/>
    <x v="7"/>
    <n v="36999"/>
    <n v="3473895"/>
    <n v="21"/>
    <n v="2271"/>
    <n v="2085"/>
    <n v="102638382"/>
    <x v="0"/>
    <n v="7.0004907908631086E-4"/>
  </r>
  <r>
    <d v="2020-05-24T00:00:00"/>
    <x v="6"/>
    <n v="38194.5"/>
    <n v="3449302.5"/>
    <n v="21"/>
    <n v="2254"/>
    <n v="2061"/>
    <n v="99164487"/>
    <x v="2"/>
    <n v="6.9509327098692087E-4"/>
  </r>
  <r>
    <d v="2020-05-22T00:00:00"/>
    <x v="8"/>
    <n v="38074.5"/>
    <n v="3414180"/>
    <n v="20"/>
    <n v="2306"/>
    <n v="2054"/>
    <n v="99164487"/>
    <x v="2"/>
    <n v="6.8801548833079317E-4"/>
  </r>
  <r>
    <d v="2020-05-16T00:00:00"/>
    <x v="7"/>
    <n v="38947.5"/>
    <n v="3395892"/>
    <n v="21"/>
    <n v="2145"/>
    <n v="1947"/>
    <n v="99164487"/>
    <x v="4"/>
    <n v="6.8433014448524498E-4"/>
  </r>
  <r>
    <d v="2020-05-23T00:00:00"/>
    <x v="8"/>
    <n v="38176.5"/>
    <n v="3385372.5"/>
    <n v="20"/>
    <n v="2266"/>
    <n v="1993"/>
    <n v="99164487"/>
    <x v="2"/>
    <n v="6.822102858575523E-4"/>
  </r>
  <r>
    <d v="2020-05-18T00:00:00"/>
    <x v="6"/>
    <n v="36655.5"/>
    <n v="3360135"/>
    <n v="21"/>
    <n v="2136"/>
    <n v="1947"/>
    <n v="99164487"/>
    <x v="2"/>
    <n v="6.7712449925967275E-4"/>
  </r>
  <r>
    <d v="2020-05-10T00:00:00"/>
    <x v="7"/>
    <n v="36619.5"/>
    <n v="3312967.5"/>
    <n v="21"/>
    <n v="2016"/>
    <n v="1846"/>
    <n v="99164487"/>
    <x v="1"/>
    <n v="6.6761944371314548E-4"/>
  </r>
  <r>
    <d v="2020-05-13T00:00:00"/>
    <x v="6"/>
    <n v="35535"/>
    <n v="3288069"/>
    <n v="21"/>
    <n v="2061"/>
    <n v="1876"/>
    <n v="99164487"/>
    <x v="4"/>
    <n v="6.6260197139586747E-4"/>
  </r>
  <r>
    <d v="2020-05-29T00:00:00"/>
    <x v="8"/>
    <n v="35346"/>
    <n v="3258054"/>
    <n v="20"/>
    <n v="2249"/>
    <n v="2000"/>
    <n v="99164487"/>
    <x v="0"/>
    <n v="6.5655343708243095E-4"/>
  </r>
  <r>
    <d v="2020-05-16T00:00:00"/>
    <x v="8"/>
    <n v="35482.5"/>
    <n v="3222517.5"/>
    <n v="19"/>
    <n v="2080"/>
    <n v="1844"/>
    <n v="95906433"/>
    <x v="4"/>
    <n v="6.4939222636680751E-4"/>
  </r>
  <r>
    <d v="2020-05-08T00:00:00"/>
    <x v="6"/>
    <n v="34399.5"/>
    <n v="3201358.5"/>
    <n v="21"/>
    <n v="1957"/>
    <n v="1755"/>
    <n v="95906433"/>
    <x v="1"/>
    <n v="6.4512832706519147E-4"/>
  </r>
  <r>
    <d v="2020-05-29T00:00:00"/>
    <x v="7"/>
    <n v="35431.5"/>
    <n v="3193167"/>
    <n v="20"/>
    <n v="2111"/>
    <n v="1917"/>
    <n v="95906433"/>
    <x v="0"/>
    <n v="6.4347760013437302E-4"/>
  </r>
  <r>
    <d v="2020-05-17T00:00:00"/>
    <x v="6"/>
    <n v="34830"/>
    <n v="3191155.5"/>
    <n v="21"/>
    <n v="2054"/>
    <n v="1883"/>
    <n v="92713266"/>
    <x v="4"/>
    <n v="6.4307224858443208E-4"/>
  </r>
  <r>
    <d v="2020-05-25T00:00:00"/>
    <x v="7"/>
    <n v="35592"/>
    <n v="3176580"/>
    <n v="20"/>
    <n v="2087"/>
    <n v="1914"/>
    <n v="92713266"/>
    <x v="0"/>
    <n v="6.4013503679414413E-4"/>
  </r>
  <r>
    <d v="2020-05-01T00:00:00"/>
    <x v="9"/>
    <n v="35190"/>
    <n v="3168510"/>
    <n v="19"/>
    <n v="1987"/>
    <n v="1791"/>
    <n v="89536686"/>
    <x v="3"/>
    <n v="6.3850879418513419E-4"/>
  </r>
  <r>
    <d v="2020-05-14T00:00:00"/>
    <x v="6"/>
    <n v="33886.5"/>
    <n v="3166479"/>
    <n v="21"/>
    <n v="1993"/>
    <n v="1796"/>
    <n v="89536686"/>
    <x v="4"/>
    <n v="6.3809951305268079E-4"/>
  </r>
  <r>
    <d v="2020-05-22T00:00:00"/>
    <x v="7"/>
    <n v="36031.5"/>
    <n v="3091069.5"/>
    <n v="21"/>
    <n v="2046"/>
    <n v="1853"/>
    <n v="89536686"/>
    <x v="2"/>
    <n v="6.2290321292577441E-4"/>
  </r>
  <r>
    <d v="2020-05-23T00:00:00"/>
    <x v="9"/>
    <n v="36997.5"/>
    <n v="3089140.5"/>
    <n v="19"/>
    <n v="2195"/>
    <n v="1999"/>
    <n v="89536686"/>
    <x v="2"/>
    <n v="6.2251448653261705E-4"/>
  </r>
  <r>
    <d v="2020-05-09T00:00:00"/>
    <x v="6"/>
    <n v="32239.5"/>
    <n v="3084892.5"/>
    <n v="21"/>
    <n v="1891"/>
    <n v="1709"/>
    <n v="89536686"/>
    <x v="1"/>
    <n v="6.2165844209605267E-4"/>
  </r>
  <r>
    <d v="2020-05-12T00:00:00"/>
    <x v="6"/>
    <n v="32419.5"/>
    <n v="3080614.5"/>
    <n v="21"/>
    <n v="1926"/>
    <n v="1745"/>
    <n v="89536686"/>
    <x v="4"/>
    <n v="6.2079635214793078E-4"/>
  </r>
  <r>
    <d v="2020-05-11T00:00:00"/>
    <x v="6"/>
    <n v="32733"/>
    <n v="3079630.5"/>
    <n v="21"/>
    <n v="1916"/>
    <n v="1733"/>
    <n v="89536686"/>
    <x v="4"/>
    <n v="6.2059805936883958E-4"/>
  </r>
  <r>
    <d v="2020-05-15T00:00:00"/>
    <x v="7"/>
    <n v="34150.5"/>
    <n v="3038293.5"/>
    <n v="21"/>
    <n v="1926"/>
    <n v="1742"/>
    <n v="89536686"/>
    <x v="4"/>
    <n v="6.1226794899354303E-4"/>
  </r>
  <r>
    <d v="2020-05-01T00:00:00"/>
    <x v="7"/>
    <n v="32487"/>
    <n v="3031254"/>
    <n v="18"/>
    <n v="1826"/>
    <n v="1633"/>
    <n v="89536686"/>
    <x v="3"/>
    <n v="6.1084936970653861E-4"/>
  </r>
  <r>
    <d v="2020-05-27T00:00:00"/>
    <x v="7"/>
    <n v="32817"/>
    <n v="3015751.5"/>
    <n v="20"/>
    <n v="2079"/>
    <n v="1893"/>
    <n v="89536686"/>
    <x v="0"/>
    <n v="6.0772535160911903E-4"/>
  </r>
  <r>
    <d v="2020-06-01T00:00:00"/>
    <x v="8"/>
    <n v="32170.5"/>
    <n v="3013512"/>
    <n v="20"/>
    <n v="2136"/>
    <n v="1899"/>
    <n v="86520934.5"/>
    <x v="5"/>
    <n v="6.0727405417133982E-4"/>
  </r>
  <r>
    <d v="2020-05-30T00:00:00"/>
    <x v="9"/>
    <n v="34681.5"/>
    <n v="3005334"/>
    <n v="20"/>
    <n v="2174"/>
    <n v="1957"/>
    <n v="86520934.5"/>
    <x v="0"/>
    <n v="6.056260477207224E-4"/>
  </r>
  <r>
    <d v="2020-05-28T00:00:00"/>
    <x v="8"/>
    <n v="31974"/>
    <n v="3004213.5"/>
    <n v="20"/>
    <n v="2088"/>
    <n v="1848"/>
    <n v="83515600.5"/>
    <x v="0"/>
    <n v="6.0540024786404382E-4"/>
  </r>
  <r>
    <d v="2020-05-31T00:00:00"/>
    <x v="8"/>
    <n v="32359.5"/>
    <n v="2991999"/>
    <n v="20"/>
    <n v="2060"/>
    <n v="1826"/>
    <n v="80511387"/>
    <x v="0"/>
    <n v="6.0293881783334349E-4"/>
  </r>
  <r>
    <d v="2020-05-26T00:00:00"/>
    <x v="7"/>
    <n v="33423"/>
    <n v="2970330"/>
    <n v="20"/>
    <n v="2044"/>
    <n v="1863"/>
    <n v="77519388"/>
    <x v="0"/>
    <n v="5.9857214483524733E-4"/>
  </r>
  <r>
    <d v="2020-05-15T00:00:00"/>
    <x v="8"/>
    <n v="32854.5"/>
    <n v="2949078"/>
    <n v="19"/>
    <n v="1940"/>
    <n v="1715"/>
    <n v="74549058"/>
    <x v="4"/>
    <n v="5.9428950444780266E-4"/>
  </r>
  <r>
    <d v="2020-06-01T00:00:00"/>
    <x v="7"/>
    <n v="31947"/>
    <n v="2945035.5"/>
    <n v="21"/>
    <n v="2025"/>
    <n v="1849"/>
    <n v="74549058"/>
    <x v="5"/>
    <n v="5.9347487176540821E-4"/>
  </r>
  <r>
    <d v="2020-05-06T00:00:00"/>
    <x v="7"/>
    <n v="32511"/>
    <n v="2938623"/>
    <n v="20"/>
    <n v="1784"/>
    <n v="1632"/>
    <n v="74549058"/>
    <x v="1"/>
    <n v="5.9218264366995893E-4"/>
  </r>
  <r>
    <d v="2020-05-07T00:00:00"/>
    <x v="6"/>
    <n v="32851.5"/>
    <n v="2934504"/>
    <n v="21"/>
    <n v="1879"/>
    <n v="1695"/>
    <n v="74549058"/>
    <x v="1"/>
    <n v="5.9135259493309255E-4"/>
  </r>
  <r>
    <d v="2020-05-20T00:00:00"/>
    <x v="7"/>
    <n v="34077"/>
    <n v="2929330.5"/>
    <n v="21"/>
    <n v="1921"/>
    <n v="1767"/>
    <n v="74549058"/>
    <x v="2"/>
    <n v="5.9031004646497448E-4"/>
  </r>
  <r>
    <d v="2020-05-24T00:00:00"/>
    <x v="7"/>
    <n v="34303.5"/>
    <n v="2924746.5"/>
    <n v="20"/>
    <n v="1999"/>
    <n v="1829"/>
    <n v="74549058"/>
    <x v="2"/>
    <n v="5.8938629229896434E-4"/>
  </r>
  <r>
    <d v="2020-05-27T00:00:00"/>
    <x v="8"/>
    <n v="31257"/>
    <n v="2924133"/>
    <n v="20"/>
    <n v="2079"/>
    <n v="1856"/>
    <n v="74549058"/>
    <x v="0"/>
    <n v="5.8926266158761023E-4"/>
  </r>
  <r>
    <d v="2020-05-16T00:00:00"/>
    <x v="9"/>
    <n v="34563"/>
    <n v="2922883.5"/>
    <n v="19"/>
    <n v="2039"/>
    <n v="1868"/>
    <n v="71624925"/>
    <x v="4"/>
    <n v="5.8901086603123376E-4"/>
  </r>
  <r>
    <d v="2020-05-24T00:00:00"/>
    <x v="8"/>
    <n v="31854"/>
    <n v="2915533.5"/>
    <n v="20"/>
    <n v="2015"/>
    <n v="1803"/>
    <n v="71624925"/>
    <x v="2"/>
    <n v="5.875297156996077E-4"/>
  </r>
  <r>
    <d v="2020-05-26T00:00:00"/>
    <x v="8"/>
    <n v="31407"/>
    <n v="2907411"/>
    <n v="20"/>
    <n v="2036"/>
    <n v="1790"/>
    <n v="71624925"/>
    <x v="0"/>
    <n v="5.858928934453718E-4"/>
  </r>
  <r>
    <d v="2020-05-05T00:00:00"/>
    <x v="7"/>
    <n v="31566"/>
    <n v="2906763"/>
    <n v="20"/>
    <n v="1773"/>
    <n v="1604"/>
    <n v="68717514"/>
    <x v="1"/>
    <n v="5.8576231039572646E-4"/>
  </r>
  <r>
    <d v="2020-05-09T00:00:00"/>
    <x v="8"/>
    <n v="32079"/>
    <n v="2902167"/>
    <n v="19"/>
    <n v="1851"/>
    <n v="1635"/>
    <n v="68717514"/>
    <x v="1"/>
    <n v="5.8483613802509324E-4"/>
  </r>
  <r>
    <d v="2020-05-17T00:00:00"/>
    <x v="7"/>
    <n v="32023.5"/>
    <n v="2882458.5"/>
    <n v="21"/>
    <n v="1874"/>
    <n v="1705"/>
    <n v="68717514"/>
    <x v="4"/>
    <n v="5.8086453920728998E-4"/>
  </r>
  <r>
    <d v="2020-05-25T00:00:00"/>
    <x v="8"/>
    <n v="30603"/>
    <n v="2865727.5"/>
    <n v="20"/>
    <n v="2011"/>
    <n v="1791"/>
    <n v="68717514"/>
    <x v="0"/>
    <n v="5.7749295741158435E-4"/>
  </r>
  <r>
    <d v="2020-05-19T00:00:00"/>
    <x v="8"/>
    <n v="32434.5"/>
    <n v="2865337.5"/>
    <n v="19"/>
    <n v="1999"/>
    <n v="1799"/>
    <n v="65851786.5"/>
    <x v="2"/>
    <n v="5.7741436576133479E-4"/>
  </r>
  <r>
    <d v="2020-04-28T00:00:00"/>
    <x v="6"/>
    <n v="32181"/>
    <n v="2863600.5"/>
    <n v="19"/>
    <n v="1846"/>
    <n v="1681"/>
    <n v="65851786.5"/>
    <x v="3"/>
    <n v="5.7706433064214644E-4"/>
  </r>
  <r>
    <d v="2020-05-10T00:00:00"/>
    <x v="8"/>
    <n v="31399.5"/>
    <n v="2862298.5"/>
    <n v="19"/>
    <n v="1848"/>
    <n v="1649"/>
    <n v="65851786.5"/>
    <x v="1"/>
    <n v="5.7680195544054401E-4"/>
  </r>
  <r>
    <d v="2020-05-29T00:00:00"/>
    <x v="9"/>
    <n v="32782.5"/>
    <n v="2854741.5"/>
    <n v="20"/>
    <n v="2064"/>
    <n v="1896"/>
    <n v="65851786.5"/>
    <x v="0"/>
    <n v="5.7527909107917008E-4"/>
  </r>
  <r>
    <d v="2020-04-30T00:00:00"/>
    <x v="6"/>
    <n v="31231.5"/>
    <n v="2853310.5"/>
    <n v="20"/>
    <n v="1756"/>
    <n v="1586"/>
    <n v="62997045"/>
    <x v="3"/>
    <n v="5.7499072017786975E-4"/>
  </r>
  <r>
    <d v="2020-05-21T00:00:00"/>
    <x v="8"/>
    <n v="31707"/>
    <n v="2853181.5"/>
    <n v="19"/>
    <n v="1949"/>
    <n v="1724"/>
    <n v="62997045"/>
    <x v="2"/>
    <n v="5.7496472447817186E-4"/>
  </r>
  <r>
    <d v="2020-05-09T00:00:00"/>
    <x v="7"/>
    <n v="31147.5"/>
    <n v="2831019"/>
    <n v="21"/>
    <n v="1735"/>
    <n v="1568"/>
    <n v="62997045"/>
    <x v="1"/>
    <n v="5.7049860281495226E-4"/>
  </r>
  <r>
    <d v="2020-05-28T00:00:00"/>
    <x v="7"/>
    <n v="30982.5"/>
    <n v="2827773"/>
    <n v="20"/>
    <n v="1886"/>
    <n v="1736"/>
    <n v="62997045"/>
    <x v="0"/>
    <n v="5.6984447846441372E-4"/>
  </r>
  <r>
    <d v="2020-05-18T00:00:00"/>
    <x v="7"/>
    <n v="31329"/>
    <n v="2826379.5"/>
    <n v="21"/>
    <n v="1834"/>
    <n v="1660"/>
    <n v="60169272"/>
    <x v="2"/>
    <n v="5.695636644525605E-4"/>
  </r>
  <r>
    <d v="2020-05-04T00:00:00"/>
    <x v="6"/>
    <n v="30780"/>
    <n v="2817853.5"/>
    <n v="20"/>
    <n v="1804"/>
    <n v="1638"/>
    <n v="60169272"/>
    <x v="1"/>
    <n v="5.6784553006787412E-4"/>
  </r>
  <r>
    <d v="2020-04-30T00:00:00"/>
    <x v="7"/>
    <n v="30445.5"/>
    <n v="2817196.5"/>
    <n v="19"/>
    <n v="1712"/>
    <n v="1552"/>
    <n v="60169272"/>
    <x v="3"/>
    <n v="5.6771313336476147E-4"/>
  </r>
  <r>
    <d v="2020-05-31T00:00:00"/>
    <x v="9"/>
    <n v="31372.5"/>
    <n v="2794324.5"/>
    <n v="21"/>
    <n v="2056"/>
    <n v="1879"/>
    <n v="60169272"/>
    <x v="0"/>
    <n v="5.6310403535320326E-4"/>
  </r>
  <r>
    <d v="2020-05-19T00:00:00"/>
    <x v="7"/>
    <n v="31842"/>
    <n v="2771116.5"/>
    <n v="21"/>
    <n v="1860"/>
    <n v="1704"/>
    <n v="57374947.5"/>
    <x v="2"/>
    <n v="5.5842722761219917E-4"/>
  </r>
  <r>
    <d v="2020-05-10T00:00:00"/>
    <x v="9"/>
    <n v="31224"/>
    <n v="2767270.5"/>
    <n v="19"/>
    <n v="1836"/>
    <n v="1680"/>
    <n v="57374947.5"/>
    <x v="1"/>
    <n v="5.5765219303050755E-4"/>
  </r>
  <r>
    <d v="2020-05-21T00:00:00"/>
    <x v="7"/>
    <n v="31272"/>
    <n v="2744382"/>
    <n v="21"/>
    <n v="1787"/>
    <n v="1626"/>
    <n v="57374947.5"/>
    <x v="2"/>
    <n v="5.5303976998759253E-4"/>
  </r>
  <r>
    <d v="2020-05-06T00:00:00"/>
    <x v="6"/>
    <n v="30342"/>
    <n v="2738127"/>
    <n v="20"/>
    <n v="1747"/>
    <n v="1570"/>
    <n v="57374947.5"/>
    <x v="1"/>
    <n v="5.5177928082782092E-4"/>
  </r>
  <r>
    <d v="2020-05-03T00:00:00"/>
    <x v="6"/>
    <n v="29935.5"/>
    <n v="2720002.5"/>
    <n v="20"/>
    <n v="1716"/>
    <n v="1561"/>
    <n v="57374947.5"/>
    <x v="3"/>
    <n v="5.4812688502026206E-4"/>
  </r>
  <r>
    <d v="2020-05-02T00:00:00"/>
    <x v="7"/>
    <n v="29031"/>
    <n v="2711247"/>
    <n v="18"/>
    <n v="1708"/>
    <n v="1534"/>
    <n v="57374947.5"/>
    <x v="3"/>
    <n v="5.4636250247215958E-4"/>
  </r>
  <r>
    <d v="2020-05-14T00:00:00"/>
    <x v="7"/>
    <n v="29658"/>
    <n v="2703132"/>
    <n v="21"/>
    <n v="1706"/>
    <n v="1548"/>
    <n v="57374947.5"/>
    <x v="4"/>
    <n v="5.4472719159581317E-4"/>
  </r>
  <r>
    <d v="2020-05-17T00:00:00"/>
    <x v="8"/>
    <n v="30486"/>
    <n v="2694289.5"/>
    <n v="19"/>
    <n v="1871"/>
    <n v="1660"/>
    <n v="57374947.5"/>
    <x v="4"/>
    <n v="5.4294527706419361E-4"/>
  </r>
  <r>
    <d v="2020-05-20T00:00:00"/>
    <x v="8"/>
    <n v="29955"/>
    <n v="2692230"/>
    <n v="19"/>
    <n v="1889"/>
    <n v="1690"/>
    <n v="57374947.5"/>
    <x v="2"/>
    <n v="5.4253025269576042E-4"/>
  </r>
  <r>
    <d v="2020-05-05T00:00:00"/>
    <x v="6"/>
    <n v="29482.5"/>
    <n v="2648688"/>
    <n v="20"/>
    <n v="1757"/>
    <n v="1596"/>
    <n v="57374947.5"/>
    <x v="1"/>
    <n v="5.3375579722097599E-4"/>
  </r>
  <r>
    <d v="2020-05-08T00:00:00"/>
    <x v="7"/>
    <n v="29409"/>
    <n v="2645160"/>
    <n v="21"/>
    <n v="1646"/>
    <n v="1492"/>
    <n v="57374947.5"/>
    <x v="1"/>
    <n v="5.3304484506179548E-4"/>
  </r>
  <r>
    <d v="2020-05-13T00:00:00"/>
    <x v="7"/>
    <n v="29241"/>
    <n v="2629782"/>
    <n v="21"/>
    <n v="1698"/>
    <n v="1554"/>
    <n v="57374947.5"/>
    <x v="4"/>
    <n v="5.2994591583734008E-4"/>
  </r>
  <r>
    <d v="2020-04-29T00:00:00"/>
    <x v="6"/>
    <n v="29142"/>
    <n v="2627595"/>
    <n v="19"/>
    <n v="1676"/>
    <n v="1516"/>
    <n v="57374947.5"/>
    <x v="3"/>
    <n v="5.2950519804478683E-4"/>
  </r>
  <r>
    <d v="2020-04-29T00:00:00"/>
    <x v="7"/>
    <n v="29319"/>
    <n v="2623480.5"/>
    <n v="18"/>
    <n v="1684"/>
    <n v="1528"/>
    <n v="57374947.5"/>
    <x v="3"/>
    <n v="5.2867605613465406E-4"/>
  </r>
  <r>
    <d v="2020-05-12T00:00:00"/>
    <x v="7"/>
    <n v="28219.5"/>
    <n v="2595778.5"/>
    <n v="21"/>
    <n v="1656"/>
    <n v="1516"/>
    <n v="57374947.5"/>
    <x v="4"/>
    <n v="5.2309363076231301E-4"/>
  </r>
  <r>
    <d v="2020-05-18T00:00:00"/>
    <x v="8"/>
    <n v="28668"/>
    <n v="2588148"/>
    <n v="19"/>
    <n v="1858"/>
    <n v="1648"/>
    <n v="57374947.5"/>
    <x v="2"/>
    <n v="5.2155595489762271E-4"/>
  </r>
  <r>
    <d v="2020-04-30T00:00:00"/>
    <x v="9"/>
    <n v="27883.5"/>
    <n v="2560080"/>
    <n v="19"/>
    <n v="1662"/>
    <n v="1506"/>
    <n v="57374947.5"/>
    <x v="3"/>
    <n v="5.1589977428427819E-4"/>
  </r>
  <r>
    <d v="2020-05-28T00:00:00"/>
    <x v="9"/>
    <n v="28197"/>
    <n v="2559211.5"/>
    <n v="20"/>
    <n v="1875"/>
    <n v="1701"/>
    <n v="57374947.5"/>
    <x v="0"/>
    <n v="5.1572475672468396E-4"/>
  </r>
  <r>
    <d v="2020-05-22T00:00:00"/>
    <x v="9"/>
    <n v="30781.5"/>
    <n v="2540715"/>
    <n v="19"/>
    <n v="1859"/>
    <n v="1697"/>
    <n v="54815736"/>
    <x v="2"/>
    <n v="5.1199739657381018E-4"/>
  </r>
  <r>
    <d v="2020-06-01T00:00:00"/>
    <x v="9"/>
    <n v="27960"/>
    <n v="2538967.5"/>
    <n v="21"/>
    <n v="1879"/>
    <n v="1720"/>
    <n v="54815736"/>
    <x v="5"/>
    <n v="5.1164524552557657E-4"/>
  </r>
  <r>
    <d v="2020-05-24T00:00:00"/>
    <x v="9"/>
    <n v="29824.5"/>
    <n v="2526909"/>
    <n v="19"/>
    <n v="1868"/>
    <n v="1706"/>
    <n v="54815736"/>
    <x v="2"/>
    <n v="5.0921525215497608E-4"/>
  </r>
  <r>
    <d v="2020-05-20T00:00:00"/>
    <x v="9"/>
    <n v="28849.5"/>
    <n v="2520759"/>
    <n v="19"/>
    <n v="1823"/>
    <n v="1678"/>
    <n v="54815736"/>
    <x v="2"/>
    <n v="5.0797592228565619E-4"/>
  </r>
  <r>
    <d v="2020-05-25T00:00:00"/>
    <x v="9"/>
    <n v="28494"/>
    <n v="2512803"/>
    <n v="20"/>
    <n v="1899"/>
    <n v="1738"/>
    <n v="54815736"/>
    <x v="0"/>
    <n v="5.0637265262056539E-4"/>
  </r>
  <r>
    <d v="2020-05-11T00:00:00"/>
    <x v="7"/>
    <n v="27187.5"/>
    <n v="2479396.5"/>
    <n v="21"/>
    <n v="1597"/>
    <n v="1457"/>
    <n v="52302933"/>
    <x v="4"/>
    <n v="4.9964067322553563E-4"/>
  </r>
  <r>
    <d v="2020-05-15T00:00:00"/>
    <x v="9"/>
    <n v="29283"/>
    <n v="2477487"/>
    <n v="19"/>
    <n v="1780"/>
    <n v="1615"/>
    <n v="52302933"/>
    <x v="4"/>
    <n v="4.9925587641489074E-4"/>
  </r>
  <r>
    <d v="2020-05-07T00:00:00"/>
    <x v="7"/>
    <n v="27018"/>
    <n v="2472213"/>
    <n v="21"/>
    <n v="1542"/>
    <n v="1405"/>
    <n v="52302933"/>
    <x v="1"/>
    <n v="4.9819307548305456E-4"/>
  </r>
  <r>
    <d v="2020-05-02T00:00:00"/>
    <x v="6"/>
    <n v="26428.5"/>
    <n v="2470465.5"/>
    <n v="20"/>
    <n v="1613"/>
    <n v="1457"/>
    <n v="52302933"/>
    <x v="3"/>
    <n v="4.9784092443482095E-4"/>
  </r>
  <r>
    <d v="2020-05-27T00:00:00"/>
    <x v="9"/>
    <n v="28050"/>
    <n v="2458555.5"/>
    <n v="20"/>
    <n v="1873"/>
    <n v="1715"/>
    <n v="52302933"/>
    <x v="0"/>
    <n v="4.9544085634643082E-4"/>
  </r>
  <r>
    <d v="2020-05-30T00:00:00"/>
    <x v="10"/>
    <n v="27250.5"/>
    <n v="2457252"/>
    <n v="17"/>
    <n v="1697"/>
    <n v="1499"/>
    <n v="49844377.5"/>
    <x v="0"/>
    <n v="4.9517817886925066E-4"/>
  </r>
  <r>
    <d v="2020-05-04T00:00:00"/>
    <x v="8"/>
    <n v="27072"/>
    <n v="2450968.5"/>
    <n v="19"/>
    <n v="1582"/>
    <n v="1403"/>
    <n v="47387125.5"/>
    <x v="1"/>
    <n v="4.9391194647349917E-4"/>
  </r>
  <r>
    <d v="2020-05-19T00:00:00"/>
    <x v="9"/>
    <n v="28882.5"/>
    <n v="2446530"/>
    <n v="19"/>
    <n v="1831"/>
    <n v="1667"/>
    <n v="47387125.5"/>
    <x v="2"/>
    <n v="4.9301751303854372E-4"/>
  </r>
  <r>
    <d v="2020-05-14T00:00:00"/>
    <x v="8"/>
    <n v="27411"/>
    <n v="2441520"/>
    <n v="19"/>
    <n v="1675"/>
    <n v="1475"/>
    <n v="47387125.5"/>
    <x v="4"/>
    <n v="4.9200791260841487E-4"/>
  </r>
  <r>
    <d v="2020-05-17T00:00:00"/>
    <x v="9"/>
    <n v="28275"/>
    <n v="2435632.5"/>
    <n v="19"/>
    <n v="1790"/>
    <n v="1633"/>
    <n v="47387125.5"/>
    <x v="4"/>
    <n v="4.9082148096522458E-4"/>
  </r>
  <r>
    <d v="2020-05-03T00:00:00"/>
    <x v="7"/>
    <n v="26082"/>
    <n v="2434914"/>
    <n v="20"/>
    <n v="1520"/>
    <n v="1373"/>
    <n v="47387125.5"/>
    <x v="3"/>
    <n v="4.9067669096341865E-4"/>
  </r>
  <r>
    <d v="2020-04-28T00:00:00"/>
    <x v="7"/>
    <n v="26940"/>
    <n v="2411587.5"/>
    <n v="18"/>
    <n v="1539"/>
    <n v="1404"/>
    <n v="47387125.5"/>
    <x v="3"/>
    <n v="4.8597600345176193E-4"/>
  </r>
  <r>
    <d v="2020-05-26T00:00:00"/>
    <x v="9"/>
    <n v="27156"/>
    <n v="2410803"/>
    <n v="20"/>
    <n v="1814"/>
    <n v="1655"/>
    <n v="47387125.5"/>
    <x v="0"/>
    <n v="4.8581791332452922E-4"/>
  </r>
  <r>
    <d v="2020-04-29T00:00:00"/>
    <x v="8"/>
    <n v="25917"/>
    <n v="2397588"/>
    <n v="18"/>
    <n v="1534"/>
    <n v="1369"/>
    <n v="44976322.5"/>
    <x v="3"/>
    <n v="4.83154865483381E-4"/>
  </r>
  <r>
    <d v="2020-05-09T00:00:00"/>
    <x v="9"/>
    <n v="26271"/>
    <n v="2384937"/>
    <n v="19"/>
    <n v="1542"/>
    <n v="1412"/>
    <n v="44976322.5"/>
    <x v="1"/>
    <n v="4.806054732595167E-4"/>
  </r>
  <r>
    <d v="2020-05-05T00:00:00"/>
    <x v="9"/>
    <n v="26367"/>
    <n v="2380333.5"/>
    <n v="19"/>
    <n v="1622"/>
    <n v="1482"/>
    <n v="44976322.5"/>
    <x v="1"/>
    <n v="4.7967778951099415E-4"/>
  </r>
  <r>
    <d v="2020-05-01T00:00:00"/>
    <x v="8"/>
    <n v="25792.5"/>
    <n v="2374356"/>
    <n v="19"/>
    <n v="1497"/>
    <n v="1291"/>
    <n v="44976322.5"/>
    <x v="3"/>
    <n v="4.7847322133313084E-4"/>
  </r>
  <r>
    <d v="2020-05-13T00:00:00"/>
    <x v="8"/>
    <n v="26464.5"/>
    <n v="2373337.5"/>
    <n v="19"/>
    <n v="1625"/>
    <n v="1444"/>
    <n v="44976322.5"/>
    <x v="4"/>
    <n v="4.7826797621574837E-4"/>
  </r>
  <r>
    <d v="2020-05-04T00:00:00"/>
    <x v="7"/>
    <n v="25566"/>
    <n v="2372310"/>
    <n v="20"/>
    <n v="1519"/>
    <n v="1372"/>
    <n v="44976322.5"/>
    <x v="1"/>
    <n v="4.7806091744489858E-4"/>
  </r>
  <r>
    <d v="2020-05-12T00:00:00"/>
    <x v="8"/>
    <n v="26032.5"/>
    <n v="2370432"/>
    <n v="19"/>
    <n v="1649"/>
    <n v="1460"/>
    <n v="44976322.5"/>
    <x v="4"/>
    <n v="4.7768246842138924E-4"/>
  </r>
  <r>
    <d v="2020-04-29T00:00:00"/>
    <x v="9"/>
    <n v="25816.5"/>
    <n v="2360914.5"/>
    <n v="18"/>
    <n v="1599"/>
    <n v="1450"/>
    <n v="44976322.5"/>
    <x v="3"/>
    <n v="4.7576452987972229E-4"/>
  </r>
  <r>
    <d v="2020-05-07T00:00:00"/>
    <x v="8"/>
    <n v="25468.5"/>
    <n v="2350672.5"/>
    <n v="19"/>
    <n v="1530"/>
    <n v="1338"/>
    <n v="44976322.5"/>
    <x v="1"/>
    <n v="4.7370059223393796E-4"/>
  </r>
  <r>
    <d v="2020-05-18T00:00:00"/>
    <x v="9"/>
    <n v="27181.5"/>
    <n v="2324490"/>
    <n v="19"/>
    <n v="1741"/>
    <n v="1597"/>
    <n v="44976322.5"/>
    <x v="2"/>
    <n v="4.684243720219922E-4"/>
  </r>
  <r>
    <d v="2020-05-07T00:00:00"/>
    <x v="9"/>
    <n v="26184"/>
    <n v="2308336.5"/>
    <n v="19"/>
    <n v="1580"/>
    <n v="1435"/>
    <n v="44976322.5"/>
    <x v="1"/>
    <n v="4.6516916632377141E-4"/>
  </r>
  <r>
    <d v="2020-04-28T00:00:00"/>
    <x v="9"/>
    <n v="25149"/>
    <n v="2277072"/>
    <n v="18"/>
    <n v="1505"/>
    <n v="1368"/>
    <n v="44976322.5"/>
    <x v="3"/>
    <n v="4.5886883645395842E-4"/>
  </r>
  <r>
    <d v="2020-05-08T00:00:00"/>
    <x v="8"/>
    <n v="25294.5"/>
    <n v="2271454.5"/>
    <n v="19"/>
    <n v="1522"/>
    <n v="1340"/>
    <n v="44976322.5"/>
    <x v="1"/>
    <n v="4.57736814414787E-4"/>
  </r>
  <r>
    <d v="2020-04-30T00:00:00"/>
    <x v="8"/>
    <n v="24211.5"/>
    <n v="2267664"/>
    <n v="19"/>
    <n v="1499"/>
    <n v="1322"/>
    <n v="44976322.5"/>
    <x v="3"/>
    <n v="4.5697296402947695E-4"/>
  </r>
  <r>
    <d v="2020-05-13T00:00:00"/>
    <x v="9"/>
    <n v="25539"/>
    <n v="2263651.5"/>
    <n v="19"/>
    <n v="1605"/>
    <n v="1447"/>
    <n v="44976322.5"/>
    <x v="4"/>
    <n v="4.5616437685864027E-4"/>
  </r>
  <r>
    <d v="2020-05-12T00:00:00"/>
    <x v="9"/>
    <n v="25483.5"/>
    <n v="2243160"/>
    <n v="19"/>
    <n v="1598"/>
    <n v="1454"/>
    <n v="44976322.5"/>
    <x v="4"/>
    <n v="4.5203499018918214E-4"/>
  </r>
  <r>
    <d v="2020-05-08T00:00:00"/>
    <x v="9"/>
    <n v="25020"/>
    <n v="2235960"/>
    <n v="19"/>
    <n v="1520"/>
    <n v="1380"/>
    <n v="44976322.5"/>
    <x v="1"/>
    <n v="4.5058406741534432E-4"/>
  </r>
  <r>
    <d v="2020-05-06T00:00:00"/>
    <x v="8"/>
    <n v="24678"/>
    <n v="2232519"/>
    <n v="19"/>
    <n v="1499"/>
    <n v="1323"/>
    <n v="44976322.5"/>
    <x v="1"/>
    <n v="4.4989064723968095E-4"/>
  </r>
  <r>
    <d v="2020-05-14T00:00:00"/>
    <x v="9"/>
    <n v="25656"/>
    <n v="2225341.5"/>
    <n v="19"/>
    <n v="1635"/>
    <n v="1487"/>
    <n v="44976322.5"/>
    <x v="4"/>
    <n v="4.4844425859951137E-4"/>
  </r>
  <r>
    <d v="2020-05-21T00:00:00"/>
    <x v="9"/>
    <n v="25362"/>
    <n v="2198935.5"/>
    <n v="19"/>
    <n v="1650"/>
    <n v="1505"/>
    <n v="44976322.5"/>
    <x v="2"/>
    <n v="4.4312299932646105E-4"/>
  </r>
  <r>
    <d v="2020-05-03T00:00:00"/>
    <x v="8"/>
    <n v="23539.5"/>
    <n v="2170309.5"/>
    <n v="19"/>
    <n v="1402"/>
    <n v="1234"/>
    <n v="44976322.5"/>
    <x v="3"/>
    <n v="4.3735437219814404E-4"/>
  </r>
  <r>
    <d v="2020-05-11T00:00:00"/>
    <x v="9"/>
    <n v="23629.5"/>
    <n v="2164365"/>
    <n v="19"/>
    <n v="1527"/>
    <n v="1389"/>
    <n v="44976322.5"/>
    <x v="4"/>
    <n v="4.3615645408299418E-4"/>
  </r>
  <r>
    <d v="2020-05-06T00:00:00"/>
    <x v="9"/>
    <n v="24337.5"/>
    <n v="2159350.5"/>
    <n v="19"/>
    <n v="1509"/>
    <n v="1374"/>
    <n v="44976322.5"/>
    <x v="1"/>
    <n v="4.3514594682613172E-4"/>
  </r>
  <r>
    <d v="2020-05-04T00:00:00"/>
    <x v="9"/>
    <n v="23587.5"/>
    <n v="2155668"/>
    <n v="19"/>
    <n v="1479"/>
    <n v="1346"/>
    <n v="44976322.5"/>
    <x v="1"/>
    <n v="4.344038602824292E-4"/>
  </r>
  <r>
    <d v="2020-04-28T00:00:00"/>
    <x v="8"/>
    <n v="23314.5"/>
    <n v="2136817.5"/>
    <n v="17"/>
    <n v="1439"/>
    <n v="1265"/>
    <n v="44976322.5"/>
    <x v="3"/>
    <n v="4.3060516309517498E-4"/>
  </r>
  <r>
    <d v="2020-05-05T00:00:00"/>
    <x v="8"/>
    <n v="22848"/>
    <n v="2079900"/>
    <n v="19"/>
    <n v="1417"/>
    <n v="1245"/>
    <n v="44976322.5"/>
    <x v="1"/>
    <n v="4.1913531629240894E-4"/>
  </r>
  <r>
    <d v="2020-05-03T00:00:00"/>
    <x v="9"/>
    <n v="21343.5"/>
    <n v="1906557"/>
    <n v="19"/>
    <n v="1314"/>
    <n v="1192"/>
    <n v="44976322.5"/>
    <x v="3"/>
    <n v="3.8420374596110691E-4"/>
  </r>
  <r>
    <d v="2020-05-23T00:00:00"/>
    <x v="10"/>
    <n v="21958.5"/>
    <n v="1854001.5"/>
    <n v="17"/>
    <n v="1294"/>
    <n v="1155"/>
    <n v="44976322.5"/>
    <x v="2"/>
    <n v="3.7361291653882427E-4"/>
  </r>
  <r>
    <d v="2020-05-02T00:00:00"/>
    <x v="8"/>
    <n v="19461"/>
    <n v="1799230.5"/>
    <n v="19"/>
    <n v="1217"/>
    <n v="1048"/>
    <n v="44976322.5"/>
    <x v="3"/>
    <n v="3.6257562608800855E-4"/>
  </r>
  <r>
    <d v="2020-05-22T00:00:00"/>
    <x v="10"/>
    <n v="21483"/>
    <n v="1774329"/>
    <n v="17"/>
    <n v="1268"/>
    <n v="1129"/>
    <n v="44976322.5"/>
    <x v="2"/>
    <n v="3.5755754921957481E-4"/>
  </r>
  <r>
    <d v="2020-05-30T00:00:00"/>
    <x v="11"/>
    <n v="20688"/>
    <n v="1773154.5"/>
    <n v="18"/>
    <n v="1216"/>
    <n v="1101"/>
    <n v="44976322.5"/>
    <x v="0"/>
    <n v="3.5732086744209249E-4"/>
  </r>
  <r>
    <d v="2020-05-29T00:00:00"/>
    <x v="10"/>
    <n v="19647"/>
    <n v="1764669"/>
    <n v="17"/>
    <n v="1296"/>
    <n v="1153"/>
    <n v="43203168"/>
    <x v="0"/>
    <n v="3.5561089449800899E-4"/>
  </r>
  <r>
    <d v="2020-05-02T00:00:00"/>
    <x v="9"/>
    <n v="18427.5"/>
    <n v="1682851.5"/>
    <n v="19"/>
    <n v="1206"/>
    <n v="1080"/>
    <n v="41438499"/>
    <x v="3"/>
    <n v="3.3912327310238704E-4"/>
  </r>
  <r>
    <d v="2020-05-30T00:00:00"/>
    <x v="12"/>
    <n v="17946"/>
    <n v="1609090.5"/>
    <n v="16"/>
    <n v="1048"/>
    <n v="918"/>
    <n v="41438499"/>
    <x v="0"/>
    <n v="3.24259173835574E-4"/>
  </r>
  <r>
    <d v="2020-05-27T00:00:00"/>
    <x v="10"/>
    <n v="18069"/>
    <n v="1603084.5"/>
    <n v="17"/>
    <n v="1203"/>
    <n v="1077"/>
    <n v="39829408.5"/>
    <x v="0"/>
    <n v="3.2304886242173097E-4"/>
  </r>
  <r>
    <d v="2020-05-16T00:00:00"/>
    <x v="10"/>
    <n v="18600"/>
    <n v="1601425.5"/>
    <n v="15"/>
    <n v="1111"/>
    <n v="992"/>
    <n v="38226324"/>
    <x v="4"/>
    <n v="3.2271454563259248E-4"/>
  </r>
  <r>
    <d v="2020-05-31T00:00:00"/>
    <x v="10"/>
    <n v="17689.5"/>
    <n v="1592119.5"/>
    <n v="17"/>
    <n v="1186"/>
    <n v="1054"/>
    <n v="38226324"/>
    <x v="0"/>
    <n v="3.2083922794740705E-4"/>
  </r>
  <r>
    <d v="2020-06-01T00:00:00"/>
    <x v="12"/>
    <n v="16476"/>
    <n v="1565632.5"/>
    <n v="16"/>
    <n v="1019"/>
    <n v="895"/>
    <n v="36634204.5"/>
    <x v="5"/>
    <n v="3.1550164579315104E-4"/>
  </r>
  <r>
    <d v="2020-05-29T00:00:00"/>
    <x v="12"/>
    <n v="17052"/>
    <n v="1549020"/>
    <n v="16"/>
    <n v="981"/>
    <n v="859"/>
    <n v="36634204.5"/>
    <x v="0"/>
    <n v="3.1215394376809809E-4"/>
  </r>
  <r>
    <d v="2020-05-24T00:00:00"/>
    <x v="10"/>
    <n v="18075"/>
    <n v="1548099"/>
    <n v="17"/>
    <n v="1128"/>
    <n v="1001"/>
    <n v="35085184.5"/>
    <x v="2"/>
    <n v="3.11968346563278E-4"/>
  </r>
  <r>
    <d v="2020-06-01T00:00:00"/>
    <x v="10"/>
    <n v="16687.5"/>
    <n v="1526608.5"/>
    <n v="17"/>
    <n v="1185"/>
    <n v="1042"/>
    <n v="35085184.5"/>
    <x v="5"/>
    <n v="3.0763764435894991E-4"/>
  </r>
  <r>
    <d v="2020-05-25T00:00:00"/>
    <x v="10"/>
    <n v="17211"/>
    <n v="1507867.5"/>
    <n v="17"/>
    <n v="1142"/>
    <n v="1020"/>
    <n v="35085184.5"/>
    <x v="0"/>
    <n v="3.0386101328888117E-4"/>
  </r>
  <r>
    <d v="2020-05-26T00:00:00"/>
    <x v="10"/>
    <n v="17391"/>
    <n v="1489132.5"/>
    <n v="17"/>
    <n v="1140"/>
    <n v="1016"/>
    <n v="33577317"/>
    <x v="0"/>
    <n v="3.0008559132112391E-4"/>
  </r>
  <r>
    <d v="2020-05-28T00:00:00"/>
    <x v="10"/>
    <n v="16500"/>
    <n v="1487928"/>
    <n v="17"/>
    <n v="1097"/>
    <n v="968"/>
    <n v="32088184.5"/>
    <x v="0"/>
    <n v="2.9984286403208392E-4"/>
  </r>
  <r>
    <d v="2020-05-10T00:00:00"/>
    <x v="10"/>
    <n v="16435.5"/>
    <n v="1471537.5"/>
    <n v="15"/>
    <n v="950"/>
    <n v="848"/>
    <n v="30600256.5"/>
    <x v="1"/>
    <n v="2.9653989879255765E-4"/>
  </r>
  <r>
    <d v="2020-05-01T00:00:00"/>
    <x v="10"/>
    <n v="17113.5"/>
    <n v="1465842"/>
    <n v="15"/>
    <n v="996"/>
    <n v="888"/>
    <n v="30600256.5"/>
    <x v="3"/>
    <n v="2.9539215842333636E-4"/>
  </r>
  <r>
    <d v="2020-05-23T00:00:00"/>
    <x v="11"/>
    <n v="17943"/>
    <n v="1457391"/>
    <n v="18"/>
    <n v="1031"/>
    <n v="918"/>
    <n v="30600256.5"/>
    <x v="2"/>
    <n v="2.9368913781754419E-4"/>
  </r>
  <r>
    <d v="2020-05-22T00:00:00"/>
    <x v="13"/>
    <n v="18036"/>
    <n v="1455049.5"/>
    <n v="10"/>
    <n v="965"/>
    <n v="861"/>
    <n v="30600256.5"/>
    <x v="2"/>
    <n v="2.9321728564046898E-4"/>
  </r>
  <r>
    <d v="2020-05-29T00:00:00"/>
    <x v="11"/>
    <n v="16878"/>
    <n v="1438255.5"/>
    <n v="18"/>
    <n v="1014"/>
    <n v="893"/>
    <n v="30600256.5"/>
    <x v="0"/>
    <n v="2.8983300827049218E-4"/>
  </r>
  <r>
    <d v="2020-05-20T00:00:00"/>
    <x v="10"/>
    <n v="17329.5"/>
    <n v="1430254.5"/>
    <n v="16"/>
    <n v="1050"/>
    <n v="938"/>
    <n v="29162001"/>
    <x v="2"/>
    <n v="2.882206703380649E-4"/>
  </r>
  <r>
    <d v="2020-05-31T00:00:00"/>
    <x v="11"/>
    <n v="16143"/>
    <n v="1423410"/>
    <n v="18"/>
    <n v="1029"/>
    <n v="925"/>
    <n v="29162001"/>
    <x v="0"/>
    <n v="2.868413868761853E-4"/>
  </r>
  <r>
    <d v="2020-05-22T00:00:00"/>
    <x v="12"/>
    <n v="15802.5"/>
    <n v="1411909.5"/>
    <n v="15"/>
    <n v="903"/>
    <n v="792"/>
    <n v="27738591"/>
    <x v="2"/>
    <n v="2.845238400205572E-4"/>
  </r>
  <r>
    <d v="2020-05-19T00:00:00"/>
    <x v="12"/>
    <n v="16237.5"/>
    <n v="1403047.5"/>
    <n v="15"/>
    <n v="930"/>
    <n v="827"/>
    <n v="27738591"/>
    <x v="2"/>
    <n v="2.8273799590642512E-4"/>
  </r>
  <r>
    <d v="2020-05-22T00:00:00"/>
    <x v="11"/>
    <n v="17008.5"/>
    <n v="1398771"/>
    <n v="18"/>
    <n v="985"/>
    <n v="861"/>
    <n v="27738591"/>
    <x v="2"/>
    <n v="2.8187620823388101E-4"/>
  </r>
  <r>
    <d v="2020-05-28T00:00:00"/>
    <x v="11"/>
    <n v="15678"/>
    <n v="1387443"/>
    <n v="18"/>
    <n v="1020"/>
    <n v="911"/>
    <n v="27738591"/>
    <x v="0"/>
    <n v="2.7959342306970944E-4"/>
  </r>
  <r>
    <d v="2020-05-24T00:00:00"/>
    <x v="11"/>
    <n v="17197.5"/>
    <n v="1386262.5"/>
    <n v="18"/>
    <n v="1006"/>
    <n v="904"/>
    <n v="26351148"/>
    <x v="2"/>
    <n v="2.7935553218991563E-4"/>
  </r>
  <r>
    <d v="2020-05-05T00:00:00"/>
    <x v="10"/>
    <n v="15987"/>
    <n v="1384179"/>
    <n v="15"/>
    <n v="922"/>
    <n v="823"/>
    <n v="26351148"/>
    <x v="1"/>
    <n v="2.7893567141223631E-4"/>
  </r>
  <r>
    <d v="2020-05-21T00:00:00"/>
    <x v="10"/>
    <n v="16554"/>
    <n v="1380751.5"/>
    <n v="17"/>
    <n v="1045"/>
    <n v="930"/>
    <n v="26351148"/>
    <x v="2"/>
    <n v="2.7824497171677391E-4"/>
  </r>
  <r>
    <d v="2020-05-17T00:00:00"/>
    <x v="10"/>
    <n v="15609"/>
    <n v="1377577.5"/>
    <n v="15"/>
    <n v="971"/>
    <n v="856"/>
    <n v="26351148"/>
    <x v="4"/>
    <n v="2.7760535659397369E-4"/>
  </r>
  <r>
    <d v="2020-05-15T00:00:00"/>
    <x v="10"/>
    <n v="16498.5"/>
    <n v="1370482.5"/>
    <n v="15"/>
    <n v="980"/>
    <n v="867"/>
    <n v="26351148"/>
    <x v="4"/>
    <n v="2.7617559311058769E-4"/>
  </r>
  <r>
    <d v="2020-05-19T00:00:00"/>
    <x v="10"/>
    <n v="16638"/>
    <n v="1364847"/>
    <n v="16"/>
    <n v="1012"/>
    <n v="900"/>
    <n v="26351148"/>
    <x v="2"/>
    <n v="2.7503994376448169E-4"/>
  </r>
  <r>
    <d v="2020-05-27T00:00:00"/>
    <x v="11"/>
    <n v="15276"/>
    <n v="1350199.5"/>
    <n v="18"/>
    <n v="962"/>
    <n v="859"/>
    <n v="26351148"/>
    <x v="0"/>
    <n v="2.7208822274645531E-4"/>
  </r>
  <r>
    <d v="2020-05-31T00:00:00"/>
    <x v="12"/>
    <n v="14808"/>
    <n v="1336789.5"/>
    <n v="16"/>
    <n v="917"/>
    <n v="802"/>
    <n v="25000948.5"/>
    <x v="0"/>
    <n v="2.6938587908018232E-4"/>
  </r>
  <r>
    <d v="2020-05-25T00:00:00"/>
    <x v="11"/>
    <n v="15807"/>
    <n v="1326705"/>
    <n v="18"/>
    <n v="989"/>
    <n v="887"/>
    <n v="23664159"/>
    <x v="0"/>
    <n v="2.6735368037007567E-4"/>
  </r>
  <r>
    <d v="2020-05-16T00:00:00"/>
    <x v="11"/>
    <n v="16368"/>
    <n v="1316350.5"/>
    <n v="16"/>
    <n v="920"/>
    <n v="818"/>
    <n v="22337454"/>
    <x v="4"/>
    <n v="2.6526707205595009E-4"/>
  </r>
  <r>
    <d v="2020-05-23T00:00:00"/>
    <x v="12"/>
    <n v="14167.5"/>
    <n v="1315075.5"/>
    <n v="15"/>
    <n v="840"/>
    <n v="725"/>
    <n v="22337454"/>
    <x v="2"/>
    <n v="2.6501013781474967E-4"/>
  </r>
  <r>
    <d v="2020-06-01T00:00:00"/>
    <x v="11"/>
    <n v="14238"/>
    <n v="1293219"/>
    <n v="18"/>
    <n v="923"/>
    <n v="824"/>
    <n v="22337454"/>
    <x v="5"/>
    <n v="2.606056803694181E-4"/>
  </r>
  <r>
    <d v="2020-05-29T00:00:00"/>
    <x v="13"/>
    <n v="14823"/>
    <n v="1273464"/>
    <n v="10"/>
    <n v="873"/>
    <n v="770"/>
    <n v="22337454"/>
    <x v="0"/>
    <n v="2.5662471100870054E-4"/>
  </r>
  <r>
    <d v="2020-05-08T00:00:00"/>
    <x v="10"/>
    <n v="14494.5"/>
    <n v="1269786"/>
    <n v="15"/>
    <n v="879"/>
    <n v="768"/>
    <n v="21063990"/>
    <x v="1"/>
    <n v="2.5588353129173168E-4"/>
  </r>
  <r>
    <d v="2020-05-30T00:00:00"/>
    <x v="13"/>
    <n v="14728.5"/>
    <n v="1260483"/>
    <n v="10"/>
    <n v="865"/>
    <n v="763"/>
    <n v="21063990"/>
    <x v="0"/>
    <n v="2.5400881815770203E-4"/>
  </r>
  <r>
    <d v="2020-05-18T00:00:00"/>
    <x v="10"/>
    <n v="14290.5"/>
    <n v="1246162.5"/>
    <n v="16"/>
    <n v="925"/>
    <n v="816"/>
    <n v="19803507"/>
    <x v="2"/>
    <n v="2.5112299321565414E-4"/>
  </r>
  <r>
    <d v="2020-05-13T00:00:00"/>
    <x v="10"/>
    <n v="14305.5"/>
    <n v="1243507.5"/>
    <n v="15"/>
    <n v="898"/>
    <n v="795"/>
    <n v="19803507"/>
    <x v="4"/>
    <n v="2.5058796544280142E-4"/>
  </r>
  <r>
    <d v="2020-05-23T00:00:00"/>
    <x v="13"/>
    <n v="14773.5"/>
    <n v="1241383.5"/>
    <n v="10"/>
    <n v="828"/>
    <n v="734"/>
    <n v="19803507"/>
    <x v="2"/>
    <n v="2.5015994322451923E-4"/>
  </r>
  <r>
    <d v="2020-05-28T00:00:00"/>
    <x v="12"/>
    <n v="13864.5"/>
    <n v="1239747"/>
    <n v="16"/>
    <n v="876"/>
    <n v="762"/>
    <n v="19803507"/>
    <x v="0"/>
    <n v="2.4983016056904904E-4"/>
  </r>
  <r>
    <d v="2020-05-18T00:00:00"/>
    <x v="11"/>
    <n v="14497.5"/>
    <n v="1230711"/>
    <n v="16"/>
    <n v="864"/>
    <n v="765"/>
    <n v="18563760"/>
    <x v="2"/>
    <n v="2.4800925248788253E-4"/>
  </r>
  <r>
    <d v="2020-05-25T00:00:00"/>
    <x v="12"/>
    <n v="13260"/>
    <n v="1230687"/>
    <n v="15"/>
    <n v="835"/>
    <n v="736"/>
    <n v="18563760"/>
    <x v="0"/>
    <n v="2.4800441607863641E-4"/>
  </r>
  <r>
    <d v="2020-05-14T00:00:00"/>
    <x v="10"/>
    <n v="14385"/>
    <n v="1223491.5"/>
    <n v="15"/>
    <n v="890"/>
    <n v="777"/>
    <n v="17333073"/>
    <x v="4"/>
    <n v="2.4655440013153219E-4"/>
  </r>
  <r>
    <d v="2020-05-09T00:00:00"/>
    <x v="10"/>
    <n v="13948.5"/>
    <n v="1222932"/>
    <n v="15"/>
    <n v="849"/>
    <n v="740"/>
    <n v="17333073"/>
    <x v="1"/>
    <n v="2.4644165134098188E-4"/>
  </r>
  <r>
    <d v="2020-05-06T00:00:00"/>
    <x v="10"/>
    <n v="14061"/>
    <n v="1221057"/>
    <n v="15"/>
    <n v="839"/>
    <n v="733"/>
    <n v="17333073"/>
    <x v="1"/>
    <n v="2.4606380686862826E-4"/>
  </r>
  <r>
    <d v="2020-05-20T00:00:00"/>
    <x v="11"/>
    <n v="14928"/>
    <n v="1217749.5"/>
    <n v="17"/>
    <n v="890"/>
    <n v="794"/>
    <n v="17333073"/>
    <x v="2"/>
    <n v="2.4539728921939649E-4"/>
  </r>
  <r>
    <d v="2020-05-10T00:00:00"/>
    <x v="11"/>
    <n v="14566.5"/>
    <n v="1216557"/>
    <n v="15"/>
    <n v="792"/>
    <n v="695"/>
    <n v="17333073"/>
    <x v="1"/>
    <n v="2.4515698013497964E-4"/>
  </r>
  <r>
    <d v="2020-05-16T00:00:00"/>
    <x v="12"/>
    <n v="13120.5"/>
    <n v="1215033"/>
    <n v="15"/>
    <n v="747"/>
    <n v="647"/>
    <n v="17333073"/>
    <x v="4"/>
    <n v="2.4484986814785059E-4"/>
  </r>
  <r>
    <d v="2020-05-27T00:00:00"/>
    <x v="12"/>
    <n v="13203"/>
    <n v="1211457"/>
    <n v="15"/>
    <n v="809"/>
    <n v="702"/>
    <n v="17333073"/>
    <x v="0"/>
    <n v="2.4412924317017781E-4"/>
  </r>
  <r>
    <d v="2020-05-26T00:00:00"/>
    <x v="11"/>
    <n v="14419.5"/>
    <n v="1210456.5"/>
    <n v="18"/>
    <n v="914"/>
    <n v="804"/>
    <n v="16121616"/>
    <x v="0"/>
    <n v="2.4392762535972991E-4"/>
  </r>
  <r>
    <d v="2020-05-10T00:00:00"/>
    <x v="12"/>
    <n v="13440"/>
    <n v="1198285.5"/>
    <n v="15"/>
    <n v="706"/>
    <n v="608"/>
    <n v="14911159.5"/>
    <x v="1"/>
    <n v="2.4147496132078818E-4"/>
  </r>
  <r>
    <d v="2020-05-24T00:00:00"/>
    <x v="12"/>
    <n v="12666"/>
    <n v="1184865"/>
    <n v="15"/>
    <n v="779"/>
    <n v="673"/>
    <n v="14911159.5"/>
    <x v="2"/>
    <n v="2.3877050172547E-4"/>
  </r>
  <r>
    <d v="2020-05-13T00:00:00"/>
    <x v="11"/>
    <n v="14643"/>
    <n v="1172691"/>
    <n v="15"/>
    <n v="854"/>
    <n v="756"/>
    <n v="14911159.5"/>
    <x v="4"/>
    <n v="2.3631723313537252E-4"/>
  </r>
  <r>
    <d v="2020-05-21T00:00:00"/>
    <x v="11"/>
    <n v="14182.5"/>
    <n v="1172574"/>
    <n v="18"/>
    <n v="888"/>
    <n v="786"/>
    <n v="14911159.5"/>
    <x v="2"/>
    <n v="2.3629365564029764E-4"/>
  </r>
  <r>
    <d v="2020-05-17T00:00:00"/>
    <x v="11"/>
    <n v="13440"/>
    <n v="1157529"/>
    <n v="16"/>
    <n v="859"/>
    <n v="746"/>
    <n v="14911159.5"/>
    <x v="4"/>
    <n v="2.332618315941323E-4"/>
  </r>
  <r>
    <d v="2020-05-26T00:00:00"/>
    <x v="12"/>
    <n v="12259.5"/>
    <n v="1152054"/>
    <n v="15"/>
    <n v="812"/>
    <n v="711"/>
    <n v="14911159.5"/>
    <x v="0"/>
    <n v="2.3215852573485978E-4"/>
  </r>
  <r>
    <d v="2020-05-15T00:00:00"/>
    <x v="13"/>
    <n v="14421"/>
    <n v="1150579.5"/>
    <n v="10"/>
    <n v="743"/>
    <n v="652"/>
    <n v="13759105.5"/>
    <x v="4"/>
    <n v="2.3186138884180089E-4"/>
  </r>
  <r>
    <d v="2020-05-05T00:00:00"/>
    <x v="11"/>
    <n v="13941"/>
    <n v="1145575.5"/>
    <n v="15"/>
    <n v="750"/>
    <n v="658"/>
    <n v="13759105.5"/>
    <x v="1"/>
    <n v="2.3085299751398361E-4"/>
  </r>
  <r>
    <d v="2020-05-01T00:00:00"/>
    <x v="11"/>
    <n v="13644"/>
    <n v="1134444"/>
    <n v="15"/>
    <n v="721"/>
    <n v="625"/>
    <n v="13759105.5"/>
    <x v="3"/>
    <n v="2.286098104505147E-4"/>
  </r>
  <r>
    <d v="2020-05-14T00:00:00"/>
    <x v="11"/>
    <n v="13810.5"/>
    <n v="1131676.5"/>
    <n v="16"/>
    <n v="834"/>
    <n v="735"/>
    <n v="13759105.5"/>
    <x v="4"/>
    <n v="2.2805211200932078E-4"/>
  </r>
  <r>
    <d v="2020-05-16T00:00:00"/>
    <x v="13"/>
    <n v="14265"/>
    <n v="1130506.5"/>
    <n v="10"/>
    <n v="760"/>
    <n v="672"/>
    <n v="13759105.5"/>
    <x v="4"/>
    <n v="2.2781633705857212E-4"/>
  </r>
  <r>
    <d v="2020-05-19T00:00:00"/>
    <x v="11"/>
    <n v="14427"/>
    <n v="1126810.5"/>
    <n v="17"/>
    <n v="857"/>
    <n v="757"/>
    <n v="13759105.5"/>
    <x v="2"/>
    <n v="2.2707153003466871E-4"/>
  </r>
  <r>
    <d v="2020-05-07T00:00:00"/>
    <x v="10"/>
    <n v="12705"/>
    <n v="1123894.5"/>
    <n v="15"/>
    <n v="805"/>
    <n v="703"/>
    <n v="13759105.5"/>
    <x v="1"/>
    <n v="2.2648390631126438E-4"/>
  </r>
  <r>
    <d v="2020-05-12T00:00:00"/>
    <x v="10"/>
    <n v="12802.5"/>
    <n v="1123830"/>
    <n v="15"/>
    <n v="845"/>
    <n v="743"/>
    <n v="13759105.5"/>
    <x v="4"/>
    <n v="2.2647090846141541E-4"/>
  </r>
  <r>
    <d v="2020-05-15T00:00:00"/>
    <x v="12"/>
    <n v="12229.5"/>
    <n v="1122730.5"/>
    <n v="15"/>
    <n v="688"/>
    <n v="598"/>
    <n v="13759105.5"/>
    <x v="4"/>
    <n v="2.2624934046282726E-4"/>
  </r>
  <r>
    <d v="2020-05-03T00:00:00"/>
    <x v="10"/>
    <n v="12924"/>
    <n v="1120009.5"/>
    <n v="15"/>
    <n v="784"/>
    <n v="696"/>
    <n v="13759105.5"/>
    <x v="3"/>
    <n v="2.2570101256454771E-4"/>
  </r>
  <r>
    <d v="2020-04-29T00:00:00"/>
    <x v="10"/>
    <n v="13014"/>
    <n v="1115992.5"/>
    <n v="15"/>
    <n v="786"/>
    <n v="695"/>
    <n v="13759105.5"/>
    <x v="3"/>
    <n v="2.2489151856697732E-4"/>
  </r>
  <r>
    <d v="2020-05-18T00:00:00"/>
    <x v="12"/>
    <n v="12450"/>
    <n v="1115146.5"/>
    <n v="15"/>
    <n v="729"/>
    <n v="636"/>
    <n v="13759105.5"/>
    <x v="2"/>
    <n v="2.2472103514105138E-4"/>
  </r>
  <r>
    <d v="2020-05-28T00:00:00"/>
    <x v="13"/>
    <n v="13038"/>
    <n v="1114552.5"/>
    <n v="10"/>
    <n v="791"/>
    <n v="697"/>
    <n v="13759105.5"/>
    <x v="0"/>
    <n v="2.2460133401220976E-4"/>
  </r>
  <r>
    <d v="2020-05-20T00:00:00"/>
    <x v="12"/>
    <n v="12630"/>
    <n v="1104858"/>
    <n v="15"/>
    <n v="760"/>
    <n v="664"/>
    <n v="12644553"/>
    <x v="2"/>
    <n v="2.2264772695235267E-4"/>
  </r>
  <r>
    <d v="2020-05-21T00:00:00"/>
    <x v="12"/>
    <n v="12135"/>
    <n v="1103623.5"/>
    <n v="15"/>
    <n v="749"/>
    <n v="652"/>
    <n v="12644553"/>
    <x v="2"/>
    <n v="2.2239895415175506E-4"/>
  </r>
  <r>
    <d v="2020-04-30T00:00:00"/>
    <x v="10"/>
    <n v="12753"/>
    <n v="1103068.5"/>
    <n v="15"/>
    <n v="791"/>
    <n v="691"/>
    <n v="12644553"/>
    <x v="3"/>
    <n v="2.2228711218793838E-4"/>
  </r>
  <r>
    <d v="2020-04-28T00:00:00"/>
    <x v="10"/>
    <n v="13303.5"/>
    <n v="1102887"/>
    <n v="15"/>
    <n v="780"/>
    <n v="690"/>
    <n v="12644553"/>
    <x v="3"/>
    <n v="2.2225053684301455E-4"/>
  </r>
  <r>
    <d v="2020-05-11T00:00:00"/>
    <x v="10"/>
    <n v="12238.5"/>
    <n v="1096002"/>
    <n v="15"/>
    <n v="812"/>
    <n v="714"/>
    <n v="12644553"/>
    <x v="4"/>
    <n v="2.2086309194053211E-4"/>
  </r>
  <r>
    <d v="2020-05-12T00:00:00"/>
    <x v="11"/>
    <n v="13443"/>
    <n v="1092277.5"/>
    <n v="15"/>
    <n v="750"/>
    <n v="659"/>
    <n v="12644553"/>
    <x v="4"/>
    <n v="2.2011254168064891E-4"/>
  </r>
  <r>
    <d v="2020-05-15T00:00:00"/>
    <x v="11"/>
    <n v="13752"/>
    <n v="1091040"/>
    <n v="16"/>
    <n v="817"/>
    <n v="718"/>
    <n v="12644553"/>
    <x v="4"/>
    <n v="2.1986316432889554E-4"/>
  </r>
  <r>
    <d v="2020-05-04T00:00:00"/>
    <x v="10"/>
    <n v="12301.5"/>
    <n v="1085211"/>
    <n v="15"/>
    <n v="750"/>
    <n v="647"/>
    <n v="12644553"/>
    <x v="1"/>
    <n v="2.1868852143324264E-4"/>
  </r>
  <r>
    <d v="2020-05-09T00:00:00"/>
    <x v="12"/>
    <n v="12037.5"/>
    <n v="1081216.5"/>
    <n v="15"/>
    <n v="623"/>
    <n v="535"/>
    <n v="12644553"/>
    <x v="1"/>
    <n v="2.1788356156934052E-4"/>
  </r>
  <r>
    <d v="2020-05-11T00:00:00"/>
    <x v="12"/>
    <n v="12654"/>
    <n v="1081158"/>
    <n v="15"/>
    <n v="684"/>
    <n v="585"/>
    <n v="12644553"/>
    <x v="4"/>
    <n v="2.178717728218031E-4"/>
  </r>
  <r>
    <d v="2020-05-17T00:00:00"/>
    <x v="12"/>
    <n v="11967"/>
    <n v="1060489.5"/>
    <n v="15"/>
    <n v="692"/>
    <n v="591"/>
    <n v="12644553"/>
    <x v="4"/>
    <n v="2.137067176341548E-4"/>
  </r>
  <r>
    <d v="2020-05-27T00:00:00"/>
    <x v="13"/>
    <n v="12490.5"/>
    <n v="1054798.5"/>
    <n v="10"/>
    <n v="757"/>
    <n v="660"/>
    <n v="12644553"/>
    <x v="0"/>
    <n v="2.1255988409166714E-4"/>
  </r>
  <r>
    <d v="2020-05-02T00:00:00"/>
    <x v="10"/>
    <n v="12313.5"/>
    <n v="1053220.5"/>
    <n v="15"/>
    <n v="751"/>
    <n v="651"/>
    <n v="11589754.5"/>
    <x v="3"/>
    <n v="2.1224189018373435E-4"/>
  </r>
  <r>
    <d v="2020-05-08T00:00:00"/>
    <x v="11"/>
    <n v="12976.5"/>
    <n v="1046848.5"/>
    <n v="15"/>
    <n v="703"/>
    <n v="609"/>
    <n v="11589754.5"/>
    <x v="1"/>
    <n v="2.1095782352888783E-4"/>
  </r>
  <r>
    <d v="2020-05-09T00:00:00"/>
    <x v="13"/>
    <n v="13216.5"/>
    <n v="1046400"/>
    <n v="10"/>
    <n v="644"/>
    <n v="559"/>
    <n v="11589754.5"/>
    <x v="1"/>
    <n v="2.1086744313110085E-4"/>
  </r>
  <r>
    <d v="2020-05-31T00:00:00"/>
    <x v="13"/>
    <n v="12724.5"/>
    <n v="1045515"/>
    <n v="10"/>
    <n v="749"/>
    <n v="655"/>
    <n v="11589754.5"/>
    <x v="0"/>
    <n v="2.1068910054014995E-4"/>
  </r>
  <r>
    <d v="2020-05-20T00:00:00"/>
    <x v="13"/>
    <n v="13063.5"/>
    <n v="1037247"/>
    <n v="10"/>
    <n v="745"/>
    <n v="654"/>
    <n v="10544239.5"/>
    <x v="2"/>
    <n v="2.0902295755485949E-4"/>
  </r>
  <r>
    <d v="2020-05-25T00:00:00"/>
    <x v="13"/>
    <n v="12280.5"/>
    <n v="1030440"/>
    <n v="10"/>
    <n v="739"/>
    <n v="642"/>
    <n v="10544239.5"/>
    <x v="0"/>
    <n v="2.0765123098242697E-4"/>
  </r>
  <r>
    <d v="2020-05-06T00:00:00"/>
    <x v="11"/>
    <n v="12468"/>
    <n v="1016566.5"/>
    <n v="15"/>
    <n v="701"/>
    <n v="611"/>
    <n v="9513799.5"/>
    <x v="1"/>
    <n v="2.0485548416258816E-4"/>
  </r>
  <r>
    <d v="2020-06-01T00:00:00"/>
    <x v="13"/>
    <n v="11416.5"/>
    <n v="1007742"/>
    <n v="10"/>
    <n v="719"/>
    <n v="627"/>
    <n v="9513799.5"/>
    <x v="5"/>
    <n v="2.0307719693790313E-4"/>
  </r>
  <r>
    <d v="2020-05-10T00:00:00"/>
    <x v="13"/>
    <n v="12918"/>
    <n v="1004788.5"/>
    <n v="10"/>
    <n v="642"/>
    <n v="556"/>
    <n v="9513799.5"/>
    <x v="1"/>
    <n v="2.0248201632505175E-4"/>
  </r>
  <r>
    <d v="2020-04-30T00:00:00"/>
    <x v="11"/>
    <n v="11976"/>
    <n v="1004511"/>
    <n v="15"/>
    <n v="644"/>
    <n v="550"/>
    <n v="9513799.5"/>
    <x v="3"/>
    <n v="2.0242609534314339E-4"/>
  </r>
  <r>
    <d v="2020-04-28T00:00:00"/>
    <x v="11"/>
    <n v="12541.5"/>
    <n v="992541"/>
    <n v="15"/>
    <n v="636"/>
    <n v="547"/>
    <n v="9513799.5"/>
    <x v="3"/>
    <n v="2.0001393623163798E-4"/>
  </r>
  <r>
    <d v="2020-05-12T00:00:00"/>
    <x v="12"/>
    <n v="11296.5"/>
    <n v="989632.5"/>
    <n v="15"/>
    <n v="624"/>
    <n v="538"/>
    <n v="9513799.5"/>
    <x v="4"/>
    <n v="1.9942782388612308E-4"/>
  </r>
  <r>
    <d v="2020-05-26T00:00:00"/>
    <x v="13"/>
    <n v="11835"/>
    <n v="983109"/>
    <n v="10"/>
    <n v="692"/>
    <n v="601"/>
    <n v="9513799.5"/>
    <x v="0"/>
    <n v="1.981132273979104E-4"/>
  </r>
  <r>
    <d v="2020-05-14T00:00:00"/>
    <x v="13"/>
    <n v="12037.5"/>
    <n v="981564"/>
    <n v="10"/>
    <n v="627"/>
    <n v="545"/>
    <n v="8530690.5"/>
    <x v="4"/>
    <n v="1.9780188355269103E-4"/>
  </r>
  <r>
    <d v="2020-04-29T00:00:00"/>
    <x v="11"/>
    <n v="12250.5"/>
    <n v="981519"/>
    <n v="15"/>
    <n v="659"/>
    <n v="575"/>
    <n v="8530690.5"/>
    <x v="3"/>
    <n v="1.9779281528535455E-4"/>
  </r>
  <r>
    <d v="2020-05-07T00:00:00"/>
    <x v="11"/>
    <n v="11719.5"/>
    <n v="965880"/>
    <n v="15"/>
    <n v="676"/>
    <n v="591"/>
    <n v="8530690.5"/>
    <x v="1"/>
    <n v="1.9464129011034756E-4"/>
  </r>
  <r>
    <d v="2020-05-14T00:00:00"/>
    <x v="12"/>
    <n v="11161.5"/>
    <n v="963502.5"/>
    <n v="15"/>
    <n v="638"/>
    <n v="548"/>
    <n v="8530690.5"/>
    <x v="4"/>
    <n v="1.941621833194032E-4"/>
  </r>
  <r>
    <d v="2020-05-08T00:00:00"/>
    <x v="13"/>
    <n v="12528"/>
    <n v="959703"/>
    <n v="10"/>
    <n v="638"/>
    <n v="547"/>
    <n v="8530690.5"/>
    <x v="1"/>
    <n v="1.9339651928062585E-4"/>
  </r>
  <r>
    <d v="2020-05-09T00:00:00"/>
    <x v="11"/>
    <n v="11745"/>
    <n v="955801.5"/>
    <n v="15"/>
    <n v="654"/>
    <n v="570"/>
    <n v="8530690.5"/>
    <x v="1"/>
    <n v="1.9261030050255246E-4"/>
  </r>
  <r>
    <d v="2020-05-13T00:00:00"/>
    <x v="12"/>
    <n v="10401"/>
    <n v="949912.5"/>
    <n v="15"/>
    <n v="599"/>
    <n v="515"/>
    <n v="8530690.5"/>
    <x v="4"/>
    <n v="1.9142356658378426E-4"/>
  </r>
  <r>
    <d v="2020-05-19T00:00:00"/>
    <x v="13"/>
    <n v="11526"/>
    <n v="938764.5"/>
    <n v="10"/>
    <n v="649"/>
    <n v="568"/>
    <n v="8530690.5"/>
    <x v="2"/>
    <n v="1.8917705448895866E-4"/>
  </r>
  <r>
    <d v="2020-05-18T00:00:00"/>
    <x v="13"/>
    <n v="11680.5"/>
    <n v="936427.5"/>
    <n v="10"/>
    <n v="645"/>
    <n v="565"/>
    <n v="8530690.5"/>
    <x v="2"/>
    <n v="1.8870610913861711E-4"/>
  </r>
  <r>
    <d v="2020-05-21T00:00:00"/>
    <x v="13"/>
    <n v="11250"/>
    <n v="935523"/>
    <n v="10"/>
    <n v="677"/>
    <n v="591"/>
    <n v="8530690.5"/>
    <x v="2"/>
    <n v="1.8852383696515374E-4"/>
  </r>
  <r>
    <d v="2020-05-30T00:00:00"/>
    <x v="14"/>
    <n v="11220"/>
    <n v="928675.5"/>
    <n v="7"/>
    <n v="532"/>
    <n v="449"/>
    <n v="8530690.5"/>
    <x v="0"/>
    <n v="1.8714394895211838E-4"/>
  </r>
  <r>
    <d v="2020-05-04T00:00:00"/>
    <x v="11"/>
    <n v="11062.5"/>
    <n v="906343.5"/>
    <n v="15"/>
    <n v="622"/>
    <n v="538"/>
    <n v="7602015"/>
    <x v="1"/>
    <n v="1.8264367014859796E-4"/>
  </r>
  <r>
    <d v="2020-05-01T00:00:00"/>
    <x v="13"/>
    <n v="11619"/>
    <n v="891139.5"/>
    <n v="10"/>
    <n v="554"/>
    <n v="472"/>
    <n v="7602015"/>
    <x v="3"/>
    <n v="1.7957980489117703E-4"/>
  </r>
  <r>
    <d v="2020-05-11T00:00:00"/>
    <x v="11"/>
    <n v="10941"/>
    <n v="880356"/>
    <n v="15"/>
    <n v="654"/>
    <n v="564"/>
    <n v="7602015"/>
    <x v="4"/>
    <n v="1.7740674576177697E-4"/>
  </r>
  <r>
    <d v="2020-04-28T00:00:00"/>
    <x v="13"/>
    <n v="12331.5"/>
    <n v="869983.5"/>
    <n v="10"/>
    <n v="580"/>
    <n v="506"/>
    <n v="7602015"/>
    <x v="3"/>
    <n v="1.7531651014071682E-4"/>
  </r>
  <r>
    <d v="2020-05-31T00:00:00"/>
    <x v="14"/>
    <n v="10416"/>
    <n v="866023.5"/>
    <n v="7"/>
    <n v="530"/>
    <n v="447"/>
    <n v="7602015"/>
    <x v="0"/>
    <n v="1.74518502615106E-4"/>
  </r>
  <r>
    <d v="2020-05-13T00:00:00"/>
    <x v="13"/>
    <n v="11202"/>
    <n v="865714.5"/>
    <n v="10"/>
    <n v="612"/>
    <n v="530"/>
    <n v="6735991.5"/>
    <x v="4"/>
    <n v="1.7445623384606214E-4"/>
  </r>
  <r>
    <d v="2020-05-07T00:00:00"/>
    <x v="13"/>
    <n v="11029.5"/>
    <n v="863754"/>
    <n v="10"/>
    <n v="563"/>
    <n v="486"/>
    <n v="6735991.5"/>
    <x v="1"/>
    <n v="1.740611596657692E-4"/>
  </r>
  <r>
    <d v="2020-05-29T00:00:00"/>
    <x v="14"/>
    <n v="9927"/>
    <n v="850840.5"/>
    <n v="7"/>
    <n v="491"/>
    <n v="411"/>
    <n v="6735991.5"/>
    <x v="0"/>
    <n v="1.7145886921577543E-4"/>
  </r>
  <r>
    <d v="2020-05-17T00:00:00"/>
    <x v="13"/>
    <n v="10402.5"/>
    <n v="843727.5"/>
    <n v="10"/>
    <n v="591"/>
    <n v="513"/>
    <n v="5885151"/>
    <x v="4"/>
    <n v="1.700254784254548E-4"/>
  </r>
  <r>
    <d v="2020-05-26T00:00:00"/>
    <x v="14"/>
    <n v="10437"/>
    <n v="833815.5"/>
    <n v="7"/>
    <n v="577"/>
    <n v="389"/>
    <n v="5885151"/>
    <x v="0"/>
    <n v="1.6802804140680469E-4"/>
  </r>
  <r>
    <d v="2020-05-24T00:00:00"/>
    <x v="13"/>
    <n v="9994.5"/>
    <n v="828984"/>
    <n v="10"/>
    <n v="639"/>
    <n v="557"/>
    <n v="5051335.5"/>
    <x v="2"/>
    <n v="1.6705441177044392E-4"/>
  </r>
  <r>
    <d v="2020-05-02T00:00:00"/>
    <x v="11"/>
    <n v="10018.5"/>
    <n v="816859.5"/>
    <n v="15"/>
    <n v="567"/>
    <n v="493"/>
    <n v="5051335.5"/>
    <x v="3"/>
    <n v="1.6461111827441655E-4"/>
  </r>
  <r>
    <d v="2020-05-03T00:00:00"/>
    <x v="11"/>
    <n v="10032"/>
    <n v="816150"/>
    <n v="15"/>
    <n v="585"/>
    <n v="502"/>
    <n v="5051335.5"/>
    <x v="3"/>
    <n v="1.6446814192607796E-4"/>
  </r>
  <r>
    <d v="2020-06-01T00:00:00"/>
    <x v="14"/>
    <n v="9474"/>
    <n v="802447.5"/>
    <n v="7"/>
    <n v="500"/>
    <n v="418"/>
    <n v="5051335.5"/>
    <x v="5"/>
    <n v="1.6170685452211779E-4"/>
  </r>
  <r>
    <d v="2020-05-08T00:00:00"/>
    <x v="12"/>
    <n v="9058.5"/>
    <n v="798759"/>
    <n v="15"/>
    <n v="492"/>
    <n v="412"/>
    <n v="5051335.5"/>
    <x v="1"/>
    <n v="1.6096355887610379E-4"/>
  </r>
  <r>
    <d v="2020-04-29T00:00:00"/>
    <x v="13"/>
    <n v="10840.5"/>
    <n v="797919"/>
    <n v="10"/>
    <n v="502"/>
    <n v="433"/>
    <n v="5051335.5"/>
    <x v="3"/>
    <n v="1.6079428455248937E-4"/>
  </r>
  <r>
    <d v="2020-05-05T00:00:00"/>
    <x v="13"/>
    <n v="10147.5"/>
    <n v="793320"/>
    <n v="10"/>
    <n v="511"/>
    <n v="437"/>
    <n v="5051335.5"/>
    <x v="1"/>
    <n v="1.5986750763070045E-4"/>
  </r>
  <r>
    <d v="2020-05-30T00:00:00"/>
    <x v="15"/>
    <n v="10029"/>
    <n v="787101"/>
    <n v="15"/>
    <n v="490"/>
    <n v="409"/>
    <n v="5051335.5"/>
    <x v="0"/>
    <n v="1.58614273084798E-4"/>
  </r>
  <r>
    <d v="2020-05-07T00:00:00"/>
    <x v="12"/>
    <n v="8719.5"/>
    <n v="769276.5"/>
    <n v="15"/>
    <n v="480"/>
    <n v="398"/>
    <n v="4264234.5"/>
    <x v="1"/>
    <n v="1.5502233239281566E-4"/>
  </r>
  <r>
    <d v="2020-05-06T00:00:00"/>
    <x v="12"/>
    <n v="8464.5"/>
    <n v="739291.5"/>
    <n v="15"/>
    <n v="467"/>
    <n v="389"/>
    <n v="4264234.5"/>
    <x v="1"/>
    <n v="1.4897984359093678E-4"/>
  </r>
  <r>
    <d v="2020-05-11T00:00:00"/>
    <x v="13"/>
    <n v="9007.5"/>
    <n v="734335.5"/>
    <n v="10"/>
    <n v="494"/>
    <n v="421"/>
    <n v="4264234.5"/>
    <x v="4"/>
    <n v="1.4798112508161173E-4"/>
  </r>
  <r>
    <d v="2020-05-12T00:00:00"/>
    <x v="13"/>
    <n v="9328.5"/>
    <n v="732964.5"/>
    <n v="10"/>
    <n v="526"/>
    <n v="448"/>
    <n v="4264234.5"/>
    <x v="4"/>
    <n v="1.4770484520342677E-4"/>
  </r>
  <r>
    <d v="2020-05-04T00:00:00"/>
    <x v="13"/>
    <n v="9130.5"/>
    <n v="728890.5"/>
    <n v="10"/>
    <n v="462"/>
    <n v="396"/>
    <n v="4264234.5"/>
    <x v="1"/>
    <n v="1.4688386473389687E-4"/>
  </r>
  <r>
    <d v="2020-04-30T00:00:00"/>
    <x v="13"/>
    <n v="8934"/>
    <n v="716196"/>
    <n v="10"/>
    <n v="448"/>
    <n v="376"/>
    <n v="4264234.5"/>
    <x v="3"/>
    <n v="1.44325706518274E-4"/>
  </r>
  <r>
    <d v="2020-05-06T00:00:00"/>
    <x v="13"/>
    <n v="9210"/>
    <n v="696832.5"/>
    <n v="10"/>
    <n v="465"/>
    <n v="390"/>
    <n v="4264234.5"/>
    <x v="1"/>
    <n v="1.4042363108338383E-4"/>
  </r>
  <r>
    <d v="2020-05-28T00:00:00"/>
    <x v="14"/>
    <n v="8428.5"/>
    <n v="694669.5"/>
    <n v="7"/>
    <n v="420"/>
    <n v="347"/>
    <n v="4264234.5"/>
    <x v="0"/>
    <n v="1.399877497000767E-4"/>
  </r>
  <r>
    <d v="2020-05-05T00:00:00"/>
    <x v="12"/>
    <n v="8223"/>
    <n v="694593"/>
    <n v="15"/>
    <n v="455"/>
    <n v="381"/>
    <n v="3569565"/>
    <x v="1"/>
    <n v="1.399723336456047E-4"/>
  </r>
  <r>
    <d v="2020-05-27T00:00:00"/>
    <x v="14"/>
    <n v="8362.5"/>
    <n v="687684"/>
    <n v="7"/>
    <n v="409"/>
    <n v="329"/>
    <n v="3569565"/>
    <x v="0"/>
    <n v="1.385800523338761E-4"/>
  </r>
  <r>
    <d v="2020-05-03T00:00:00"/>
    <x v="12"/>
    <n v="8127"/>
    <n v="665302.5"/>
    <n v="15"/>
    <n v="455"/>
    <n v="384"/>
    <n v="2881881"/>
    <x v="3"/>
    <n v="1.3406979843628557E-4"/>
  </r>
  <r>
    <d v="2020-05-29T00:00:00"/>
    <x v="15"/>
    <n v="8350.5"/>
    <n v="651237"/>
    <n v="15"/>
    <n v="400"/>
    <n v="329"/>
    <n v="2881881"/>
    <x v="0"/>
    <n v="1.3123536034247775E-4"/>
  </r>
  <r>
    <d v="2020-05-28T00:00:00"/>
    <x v="15"/>
    <n v="8536.5"/>
    <n v="643944"/>
    <n v="15"/>
    <n v="464"/>
    <n v="390"/>
    <n v="2230644"/>
    <x v="0"/>
    <n v="1.2976569648281118E-4"/>
  </r>
  <r>
    <d v="2020-05-03T00:00:00"/>
    <x v="13"/>
    <n v="8185.5"/>
    <n v="637881"/>
    <n v="10"/>
    <n v="402"/>
    <n v="333"/>
    <n v="1586700"/>
    <x v="3"/>
    <n v="1.2854389859700855E-4"/>
  </r>
  <r>
    <d v="2020-06-01T00:00:00"/>
    <x v="15"/>
    <n v="7816.5"/>
    <n v="636345"/>
    <n v="15"/>
    <n v="453"/>
    <n v="370"/>
    <n v="1586700"/>
    <x v="5"/>
    <n v="1.2823436840525649E-4"/>
  </r>
  <r>
    <d v="2020-05-31T00:00:00"/>
    <x v="15"/>
    <n v="7944"/>
    <n v="623971.5"/>
    <n v="15"/>
    <n v="441"/>
    <n v="368"/>
    <n v="1586700"/>
    <x v="0"/>
    <n v="1.2574089716330055E-4"/>
  </r>
  <r>
    <d v="2020-05-02T00:00:00"/>
    <x v="13"/>
    <n v="7866"/>
    <n v="617881.5"/>
    <n v="10"/>
    <n v="416"/>
    <n v="341"/>
    <n v="962728.5"/>
    <x v="3"/>
    <n v="1.2451365831709605E-4"/>
  </r>
  <r>
    <d v="2020-05-04T00:00:00"/>
    <x v="12"/>
    <n v="7087.5"/>
    <n v="610855.5"/>
    <n v="15"/>
    <n v="390"/>
    <n v="315"/>
    <n v="962728.5"/>
    <x v="1"/>
    <n v="1.230977995102926E-4"/>
  </r>
  <r>
    <d v="2020-05-01T00:00:00"/>
    <x v="12"/>
    <n v="5446.5"/>
    <n v="505572"/>
    <n v="15"/>
    <n v="294"/>
    <n v="225"/>
    <n v="962728.5"/>
    <x v="3"/>
    <n v="1.0188137897427076E-4"/>
  </r>
  <r>
    <d v="2020-05-31T00:00:00"/>
    <x v="16"/>
    <n v="6409.5"/>
    <n v="493893"/>
    <n v="9"/>
    <n v="345"/>
    <n v="255"/>
    <n v="962728.5"/>
    <x v="0"/>
    <n v="9.9527861324874621E-5"/>
  </r>
  <r>
    <d v="2020-05-31T00:00:00"/>
    <x v="17"/>
    <n v="5127"/>
    <n v="468835.5"/>
    <n v="6"/>
    <n v="261"/>
    <n v="188"/>
    <n v="468835.5"/>
    <x v="0"/>
    <n v="9.4478347796341015E-5"/>
  </r>
  <r>
    <d v="2020-05-02T00:00:00"/>
    <x v="12"/>
    <n v="4624.5"/>
    <n v="433243.5"/>
    <n v="15"/>
    <n v="274"/>
    <n v="203"/>
    <n v="0"/>
    <x v="3"/>
    <n v="8.7305952884335908E-5"/>
  </r>
  <r>
    <d v="2020-06-01T00:00:00"/>
    <x v="17"/>
    <n v="4408.5"/>
    <n v="410892"/>
    <n v="6"/>
    <n v="237"/>
    <n v="175"/>
    <n v="0"/>
    <x v="5"/>
    <n v="8.2801744498303036E-5"/>
  </r>
  <r>
    <d v="2020-04-30T00:00:00"/>
    <x v="12"/>
    <n v="4285.5"/>
    <n v="404691"/>
    <n v="15"/>
    <n v="262"/>
    <n v="195"/>
    <n v="0"/>
    <x v="3"/>
    <n v="8.1552137259335186E-5"/>
  </r>
  <r>
    <d v="2020-06-01T00:00:00"/>
    <x v="16"/>
    <n v="5166"/>
    <n v="389013"/>
    <n v="9"/>
    <n v="294"/>
    <n v="224"/>
    <n v="0"/>
    <x v="5"/>
    <n v="7.839275291930327E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04B09-F2EE-42D6-9BBA-8C3BEB6B0A18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еделя / Территория">
  <location ref="A3:C23" firstHeaderRow="0" firstDataRow="1" firstDataCol="1"/>
  <pivotFields count="10">
    <pivotField numFmtId="14" showAll="0"/>
    <pivotField axis="axisRow" showAll="0" sortType="descending">
      <items count="19">
        <item x="5"/>
        <item x="4"/>
        <item x="6"/>
        <item x="7"/>
        <item x="9"/>
        <item x="3"/>
        <item x="2"/>
        <item x="8"/>
        <item x="11"/>
        <item x="10"/>
        <item x="12"/>
        <item x="15"/>
        <item x="0"/>
        <item x="1"/>
        <item x="13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showAll="0" sortType="descending">
      <items count="7">
        <item x="5"/>
        <item h="1" sd="0" x="0"/>
        <item h="1" sd="0" x="2"/>
        <item h="1" sd="0" x="4"/>
        <item h="1" sd="0" x="1"/>
        <item h="1" sd="0" x="3"/>
        <item t="default"/>
      </items>
    </pivotField>
    <pivotField numFmtId="10" showAll="0"/>
  </pivotFields>
  <rowFields count="2">
    <field x="8"/>
    <field x="1"/>
  </rowFields>
  <rowItems count="20">
    <i>
      <x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10"/>
    </i>
    <i r="1">
      <x v="9"/>
    </i>
    <i r="1">
      <x v="8"/>
    </i>
    <i r="1">
      <x v="14"/>
    </i>
    <i r="1">
      <x v="16"/>
    </i>
    <i r="1">
      <x v="11"/>
    </i>
    <i r="1">
      <x v="17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8" baseItem="0"/>
    <dataField name="Сумма по полю Товарооборот на склад" fld="7" baseField="8" baseItem="0"/>
  </dataFields>
  <formats count="8">
    <format dxfId="7">
      <pivotArea field="8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8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2FE7B-0625-41D6-B77B-88DAC41F7DC5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 rowHeaderCaption="Понедельная динамика">
  <location ref="A3:C10" firstHeaderRow="0" firstDataRow="1" firstDataCol="1"/>
  <pivotFields count="10"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3"/>
        <item x="1"/>
        <item x="4"/>
        <item x="2"/>
        <item x="0"/>
        <item x="5"/>
        <item t="default"/>
      </items>
    </pivotField>
    <pivotField numFmtId="1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formats count="8">
    <format dxfId="15">
      <pivotArea field="8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8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2D00BB-8B1F-4790-A993-3A67757E5C9C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9770C40-646C-4647-AD29-EF3DD88F565F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3F41994-587B-403A-B0CF-3C5547106F02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E9C49-EA14-442D-BBE8-18B33EE9B180}" name="Таблица1" displayName="Таблица1" ref="A1:I505" totalsRowShown="0" headerRowDxfId="41" dataDxfId="40" tableBorderDxfId="39">
  <autoFilter ref="A1:I505" xr:uid="{D32E9C49-EA14-442D-BBE8-18B33EE9B180}"/>
  <tableColumns count="9">
    <tableColumn id="1" xr3:uid="{3E8BA93B-7A6C-416A-8694-6D2432443581}" name="Дата" dataDxfId="38"/>
    <tableColumn id="2" xr3:uid="{52F7117C-334A-46B3-AFF2-7F576DD36682}" name="Территория" dataDxfId="37"/>
    <tableColumn id="3" xr3:uid="{C04AAB67-538B-4521-B0F3-C31E94699895}" name="Товарооборот, шт" dataDxfId="36"/>
    <tableColumn id="4" xr3:uid="{C164A03A-35F1-4D6F-8F5B-66825487EB6B}" name="Товарооборот, руб" dataDxfId="35"/>
    <tableColumn id="5" xr3:uid="{AFAA0DDA-1D8F-442A-AA0E-DB9873DFD4B7}" name="Количество складов" dataDxfId="34"/>
    <tableColumn id="6" xr3:uid="{C624797D-6DA0-4E8D-A158-51E8430AFD72}" name="Количество заказов" dataDxfId="33"/>
    <tableColumn id="7" xr3:uid="{EC844267-6DBC-438F-83C7-FE5ADDD9FEB5}" name="Количество клиентов" dataDxfId="32"/>
    <tableColumn id="8" xr3:uid="{498EE1AD-5D01-406C-9A49-11170B8E488C}" name="Товарооборот на склад"/>
    <tableColumn id="9" xr3:uid="{053210D2-E528-4FDD-AE2A-3EFA02113F2D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B86B18-3E3A-4F94-8B25-09F638F7678E}" name="Таблица1_1" displayName="Таблица1_1" ref="A1:I505" tableType="queryTable" totalsRowShown="0">
  <autoFilter ref="A1:I505" xr:uid="{1BB86B18-3E3A-4F94-8B25-09F638F7678E}"/>
  <tableColumns count="9">
    <tableColumn id="1" xr3:uid="{49FE1737-F3FE-4368-A329-C5EEA0D12A7B}" uniqueName="1" name="Дата" queryTableFieldId="1" dataDxfId="31"/>
    <tableColumn id="2" xr3:uid="{DEDD0A06-1A82-4C2F-A116-85AA9686516B}" uniqueName="2" name="Территория" queryTableFieldId="2" dataDxfId="30"/>
    <tableColumn id="3" xr3:uid="{C259816C-7130-4735-88AB-2650E1E5FCA9}" uniqueName="3" name="Товарооборот, шт" queryTableFieldId="3"/>
    <tableColumn id="4" xr3:uid="{51B0AA0C-6944-4958-9141-89BD9F30A06D}" uniqueName="4" name="Товарооборот, руб" queryTableFieldId="4"/>
    <tableColumn id="5" xr3:uid="{7FDCCB3F-4F27-4B65-B57F-EA15EB17C1C4}" uniqueName="5" name="Количество складов" queryTableFieldId="5"/>
    <tableColumn id="6" xr3:uid="{4F9A9DAC-6A89-496C-8033-7CFF85101D69}" uniqueName="6" name="Количество заказов" queryTableFieldId="6"/>
    <tableColumn id="7" xr3:uid="{1E7452FD-E138-4EC6-81A7-C64128DC4639}" uniqueName="7" name="Количество клиентов" queryTableFieldId="7"/>
    <tableColumn id="8" xr3:uid="{B69F5FB9-004A-45C8-B5BC-7E82CFA2890A}" uniqueName="8" name="Товарооборот на склад" queryTableFieldId="8"/>
    <tableColumn id="9" xr3:uid="{3760B66D-BB16-4882-82CE-00A14C0E83E9}" uniqueName="9" name="Неделя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F6087-A84E-4B0D-871B-22E89F24762C}" name="Таблица2" displayName="Таблица2" ref="A1:E505" totalsRowShown="0" headerRowDxfId="29" dataDxfId="27" headerRowBorderDxfId="28" tableBorderDxfId="26">
  <autoFilter ref="A1:E505" xr:uid="{F37F6087-A84E-4B0D-871B-22E89F24762C}"/>
  <tableColumns count="5">
    <tableColumn id="1" xr3:uid="{062F089D-3417-4AD6-B491-684BE1DD6237}" name="Дата" dataDxfId="25"/>
    <tableColumn id="2" xr3:uid="{1F5218DB-9977-4B93-88CE-B4DC52E8EC18}" name="Территория" dataDxfId="24"/>
    <tableColumn id="3" xr3:uid="{BA20E827-007F-412F-8B47-5412B6B23468}" name="Количество складов" dataDxfId="23"/>
    <tableColumn id="4" xr3:uid="{E43C18A3-04F4-4892-B0C9-AEB5CF876188}" name="Количество заказов" dataDxfId="22"/>
    <tableColumn id="5" xr3:uid="{A61A6E96-8B83-440A-8D5D-3DE2D1FF8428}" name="Количество клиентов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E79FA-156D-4CD9-AF3B-9966CB11B497}" name="Таблица2_1" displayName="Таблица2_1" ref="A1:E505" tableType="queryTable" totalsRowShown="0">
  <autoFilter ref="A1:E505" xr:uid="{75AE79FA-156D-4CD9-AF3B-9966CB11B497}"/>
  <tableColumns count="5">
    <tableColumn id="1" xr3:uid="{E7E72FB0-2D30-448C-BACA-3CA72FCD422D}" uniqueName="1" name="Дата" queryTableFieldId="1" dataDxfId="20"/>
    <tableColumn id="2" xr3:uid="{B7B8EAD2-41F1-4D13-99AB-B98D24C8095C}" uniqueName="2" name="Территория" queryTableFieldId="2" dataDxfId="19"/>
    <tableColumn id="3" xr3:uid="{7B12DED1-8761-41ED-ABF2-B634321156C5}" uniqueName="3" name="Количество складов" queryTableFieldId="3"/>
    <tableColumn id="4" xr3:uid="{8D4F2ABA-2D37-4DC0-9A99-7B8C15B21BBF}" uniqueName="4" name="Количество заказов" queryTableFieldId="4"/>
    <tableColumn id="5" xr3:uid="{1C9516A4-520E-4CE5-B777-F263E1781A2A}" uniqueName="5" name="Количество клиентов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1B3DF2-00E0-49F0-95AD-9E1CE500FAA1}" name="Слияние1" displayName="Слияние1" ref="A1:J505" tableType="queryTable" totalsRowShown="0">
  <autoFilter ref="A1:J505" xr:uid="{7E1B3DF2-00E0-49F0-95AD-9E1CE500FAA1}"/>
  <sortState xmlns:xlrd2="http://schemas.microsoft.com/office/spreadsheetml/2017/richdata2" ref="A2:J505">
    <sortCondition descending="1" ref="J1:J505"/>
  </sortState>
  <tableColumns count="10">
    <tableColumn id="1" xr3:uid="{E9A264DC-6822-4501-9967-C6D1133F8999}" uniqueName="1" name="Дата" queryTableFieldId="1" dataDxfId="18"/>
    <tableColumn id="2" xr3:uid="{43F44A49-B770-43FD-AC9C-2B833D4E37E5}" uniqueName="2" name="Территория" queryTableFieldId="2" dataDxfId="17"/>
    <tableColumn id="3" xr3:uid="{7D7D57F1-A624-4235-87F6-FD22EF3FA17D}" uniqueName="3" name="Товарооборот, шт" queryTableFieldId="3"/>
    <tableColumn id="4" xr3:uid="{DF799EBC-9AAD-42C9-A977-D0A752BB03B8}" uniqueName="4" name="Товарооборот, руб" queryTableFieldId="4"/>
    <tableColumn id="5" xr3:uid="{DEC684C6-EC87-4E3E-8F6E-44063466962E}" uniqueName="5" name="Количество складов" queryTableFieldId="5"/>
    <tableColumn id="6" xr3:uid="{E8CC8D91-8975-4A27-A21D-3C40539DC42D}" uniqueName="6" name="Количество заказов" queryTableFieldId="6"/>
    <tableColumn id="7" xr3:uid="{1FF46DC6-A680-41A3-923C-2BE79FE38C22}" uniqueName="7" name="Количество клиентов" queryTableFieldId="7"/>
    <tableColumn id="8" xr3:uid="{41105C0A-DE51-41E0-BA2B-22D586D9E81F}" uniqueName="8" name="Товарооборот на склад" queryTableFieldId="8"/>
    <tableColumn id="9" xr3:uid="{989A53D7-9D32-4829-A3F6-F5E65C190F3B}" uniqueName="9" name="Неделя" queryTableFieldId="9"/>
    <tableColumn id="10" xr3:uid="{E152C57C-F41C-4B49-922C-610D18ACFDD3}" uniqueName="10" name="Доля в общем товарообороте" queryTableFieldId="10" dataDxfId="16" dataCellStyle="Процентный">
      <calculatedColumnFormula>Слияние1[[#This Row],[Товарооборот, руб]] / SUM(Слияние1[Товарооборот, руб])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17" sqref="C17"/>
    </sheetView>
  </sheetViews>
  <sheetFormatPr defaultColWidth="14.44140625" defaultRowHeight="15" customHeight="1" x14ac:dyDescent="0.3"/>
  <cols>
    <col min="1" max="1" width="10.44140625" customWidth="1"/>
    <col min="2" max="2" width="21.77734375" customWidth="1"/>
    <col min="3" max="3" width="22" customWidth="1"/>
    <col min="4" max="4" width="20.21875" customWidth="1"/>
    <col min="5" max="7" width="22" customWidth="1"/>
    <col min="8" max="8" width="23.44140625" customWidth="1"/>
    <col min="9" max="9" width="8.88671875" customWidth="1"/>
    <col min="10" max="24" width="8.7773437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2AE3-6A18-4B32-8BAD-A9B509127A61}">
  <dimension ref="A1:I505"/>
  <sheetViews>
    <sheetView workbookViewId="0"/>
  </sheetViews>
  <sheetFormatPr defaultRowHeight="14.4" x14ac:dyDescent="0.3"/>
  <cols>
    <col min="1" max="1" width="14.77734375" bestFit="1" customWidth="1"/>
    <col min="2" max="2" width="19.6640625" bestFit="1" customWidth="1"/>
    <col min="3" max="3" width="18.109375" bestFit="1" customWidth="1"/>
    <col min="4" max="4" width="18.88671875" bestFit="1" customWidth="1"/>
    <col min="5" max="5" width="20" bestFit="1" customWidth="1"/>
    <col min="6" max="6" width="19.5546875" bestFit="1" customWidth="1"/>
    <col min="7" max="7" width="21" bestFit="1" customWidth="1"/>
    <col min="8" max="8" width="22.77734375" bestFit="1" customWidth="1"/>
    <col min="9" max="9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2">
        <v>43982</v>
      </c>
      <c r="B2" t="s">
        <v>9</v>
      </c>
      <c r="C2">
        <v>7944</v>
      </c>
      <c r="D2">
        <v>623971.5</v>
      </c>
    </row>
    <row r="3" spans="1:9" x14ac:dyDescent="0.3">
      <c r="A3" s="12">
        <v>43981</v>
      </c>
      <c r="B3" t="s">
        <v>9</v>
      </c>
      <c r="C3">
        <v>10029</v>
      </c>
      <c r="D3">
        <v>787101</v>
      </c>
    </row>
    <row r="4" spans="1:9" x14ac:dyDescent="0.3">
      <c r="A4" s="12">
        <v>43979</v>
      </c>
      <c r="B4" t="s">
        <v>9</v>
      </c>
      <c r="C4">
        <v>8536.5</v>
      </c>
      <c r="D4">
        <v>643944</v>
      </c>
    </row>
    <row r="5" spans="1:9" x14ac:dyDescent="0.3">
      <c r="A5" s="12">
        <v>43967</v>
      </c>
      <c r="B5" t="s">
        <v>10</v>
      </c>
      <c r="C5">
        <v>38947.5</v>
      </c>
      <c r="D5">
        <v>3395892</v>
      </c>
    </row>
    <row r="6" spans="1:9" x14ac:dyDescent="0.3">
      <c r="A6" s="12">
        <v>43970</v>
      </c>
      <c r="B6" t="s">
        <v>10</v>
      </c>
      <c r="C6">
        <v>31842</v>
      </c>
      <c r="D6">
        <v>2771116.5</v>
      </c>
    </row>
    <row r="7" spans="1:9" x14ac:dyDescent="0.3">
      <c r="A7" s="12">
        <v>43968</v>
      </c>
      <c r="B7" t="s">
        <v>10</v>
      </c>
      <c r="C7">
        <v>32023.5</v>
      </c>
      <c r="D7">
        <v>2882458.5</v>
      </c>
    </row>
    <row r="8" spans="1:9" x14ac:dyDescent="0.3">
      <c r="A8" s="12">
        <v>43960</v>
      </c>
      <c r="B8" t="s">
        <v>10</v>
      </c>
      <c r="C8">
        <v>31147.5</v>
      </c>
      <c r="D8">
        <v>2831019</v>
      </c>
    </row>
    <row r="9" spans="1:9" x14ac:dyDescent="0.3">
      <c r="A9" s="12">
        <v>43955</v>
      </c>
      <c r="B9" t="s">
        <v>10</v>
      </c>
      <c r="C9">
        <v>25566</v>
      </c>
      <c r="D9">
        <v>2372310</v>
      </c>
    </row>
    <row r="10" spans="1:9" x14ac:dyDescent="0.3">
      <c r="A10" s="12">
        <v>43950</v>
      </c>
      <c r="B10" t="s">
        <v>10</v>
      </c>
      <c r="C10">
        <v>29319</v>
      </c>
      <c r="D10">
        <v>2623480.5</v>
      </c>
    </row>
    <row r="11" spans="1:9" x14ac:dyDescent="0.3">
      <c r="A11" s="12">
        <v>43953</v>
      </c>
      <c r="B11" t="s">
        <v>10</v>
      </c>
      <c r="C11">
        <v>29031</v>
      </c>
      <c r="D11">
        <v>2711247</v>
      </c>
    </row>
    <row r="12" spans="1:9" x14ac:dyDescent="0.3">
      <c r="A12" s="12">
        <v>43977</v>
      </c>
      <c r="B12" t="s">
        <v>10</v>
      </c>
      <c r="C12">
        <v>33423</v>
      </c>
      <c r="D12">
        <v>2970330</v>
      </c>
    </row>
    <row r="13" spans="1:9" x14ac:dyDescent="0.3">
      <c r="A13" s="12">
        <v>43952</v>
      </c>
      <c r="B13" t="s">
        <v>10</v>
      </c>
      <c r="C13">
        <v>32487</v>
      </c>
      <c r="D13">
        <v>3031254</v>
      </c>
    </row>
    <row r="14" spans="1:9" x14ac:dyDescent="0.3">
      <c r="A14" s="12">
        <v>43963</v>
      </c>
      <c r="B14" t="s">
        <v>10</v>
      </c>
      <c r="C14">
        <v>28219.5</v>
      </c>
      <c r="D14">
        <v>2595778.5</v>
      </c>
    </row>
    <row r="15" spans="1:9" x14ac:dyDescent="0.3">
      <c r="A15" s="12">
        <v>43972</v>
      </c>
      <c r="B15" t="s">
        <v>10</v>
      </c>
      <c r="C15">
        <v>31272</v>
      </c>
      <c r="D15">
        <v>2744382</v>
      </c>
    </row>
    <row r="16" spans="1:9" x14ac:dyDescent="0.3">
      <c r="A16" s="12">
        <v>43971</v>
      </c>
      <c r="B16" t="s">
        <v>10</v>
      </c>
      <c r="C16">
        <v>34077</v>
      </c>
      <c r="D16">
        <v>2929330.5</v>
      </c>
    </row>
    <row r="17" spans="1:4" x14ac:dyDescent="0.3">
      <c r="A17" s="12">
        <v>43956</v>
      </c>
      <c r="B17" t="s">
        <v>10</v>
      </c>
      <c r="C17">
        <v>31566</v>
      </c>
      <c r="D17">
        <v>2906763</v>
      </c>
    </row>
    <row r="18" spans="1:4" x14ac:dyDescent="0.3">
      <c r="A18" s="12">
        <v>43949</v>
      </c>
      <c r="B18" t="s">
        <v>10</v>
      </c>
      <c r="C18">
        <v>26940</v>
      </c>
      <c r="D18">
        <v>2411587.5</v>
      </c>
    </row>
    <row r="19" spans="1:4" x14ac:dyDescent="0.3">
      <c r="A19" s="12">
        <v>43964</v>
      </c>
      <c r="B19" t="s">
        <v>10</v>
      </c>
      <c r="C19">
        <v>29241</v>
      </c>
      <c r="D19">
        <v>2629782</v>
      </c>
    </row>
    <row r="20" spans="1:4" x14ac:dyDescent="0.3">
      <c r="A20" s="12">
        <v>43954</v>
      </c>
      <c r="B20" t="s">
        <v>10</v>
      </c>
      <c r="C20">
        <v>26082</v>
      </c>
      <c r="D20">
        <v>2434914</v>
      </c>
    </row>
    <row r="21" spans="1:4" x14ac:dyDescent="0.3">
      <c r="A21" s="12">
        <v>43957</v>
      </c>
      <c r="B21" t="s">
        <v>10</v>
      </c>
      <c r="C21">
        <v>32511</v>
      </c>
      <c r="D21">
        <v>2938623</v>
      </c>
    </row>
    <row r="22" spans="1:4" x14ac:dyDescent="0.3">
      <c r="A22" s="12">
        <v>43974</v>
      </c>
      <c r="B22" t="s">
        <v>10</v>
      </c>
      <c r="C22">
        <v>42703.5</v>
      </c>
      <c r="D22">
        <v>3628726.5</v>
      </c>
    </row>
    <row r="23" spans="1:4" x14ac:dyDescent="0.3">
      <c r="A23" s="12">
        <v>43976</v>
      </c>
      <c r="B23" t="s">
        <v>10</v>
      </c>
      <c r="C23">
        <v>35592</v>
      </c>
      <c r="D23">
        <v>3176580</v>
      </c>
    </row>
    <row r="24" spans="1:4" x14ac:dyDescent="0.3">
      <c r="A24" s="12">
        <v>43951</v>
      </c>
      <c r="B24" t="s">
        <v>10</v>
      </c>
      <c r="C24">
        <v>30445.5</v>
      </c>
      <c r="D24">
        <v>2817196.5</v>
      </c>
    </row>
    <row r="25" spans="1:4" x14ac:dyDescent="0.3">
      <c r="A25" s="12">
        <v>43961</v>
      </c>
      <c r="B25" t="s">
        <v>10</v>
      </c>
      <c r="C25">
        <v>36619.5</v>
      </c>
      <c r="D25">
        <v>3312967.5</v>
      </c>
    </row>
    <row r="26" spans="1:4" x14ac:dyDescent="0.3">
      <c r="A26" s="12">
        <v>43959</v>
      </c>
      <c r="B26" t="s">
        <v>10</v>
      </c>
      <c r="C26">
        <v>29409</v>
      </c>
      <c r="D26">
        <v>2645160</v>
      </c>
    </row>
    <row r="27" spans="1:4" x14ac:dyDescent="0.3">
      <c r="A27" s="12">
        <v>43958</v>
      </c>
      <c r="B27" t="s">
        <v>10</v>
      </c>
      <c r="C27">
        <v>27018</v>
      </c>
      <c r="D27">
        <v>2472213</v>
      </c>
    </row>
    <row r="28" spans="1:4" x14ac:dyDescent="0.3">
      <c r="A28" s="12">
        <v>43975</v>
      </c>
      <c r="B28" t="s">
        <v>10</v>
      </c>
      <c r="C28">
        <v>34303.5</v>
      </c>
      <c r="D28">
        <v>2924746.5</v>
      </c>
    </row>
    <row r="29" spans="1:4" x14ac:dyDescent="0.3">
      <c r="A29" s="12">
        <v>43982</v>
      </c>
      <c r="B29" t="s">
        <v>10</v>
      </c>
      <c r="C29">
        <v>36999</v>
      </c>
      <c r="D29">
        <v>3473895</v>
      </c>
    </row>
    <row r="30" spans="1:4" x14ac:dyDescent="0.3">
      <c r="A30" s="12">
        <v>43981</v>
      </c>
      <c r="B30" t="s">
        <v>10</v>
      </c>
      <c r="C30">
        <v>44001</v>
      </c>
      <c r="D30">
        <v>3921784.5</v>
      </c>
    </row>
    <row r="31" spans="1:4" x14ac:dyDescent="0.3">
      <c r="A31" s="12">
        <v>43979</v>
      </c>
      <c r="B31" t="s">
        <v>10</v>
      </c>
      <c r="C31">
        <v>30982.5</v>
      </c>
      <c r="D31">
        <v>2827773</v>
      </c>
    </row>
    <row r="32" spans="1:4" x14ac:dyDescent="0.3">
      <c r="A32" s="12">
        <v>43967</v>
      </c>
      <c r="B32" t="s">
        <v>11</v>
      </c>
      <c r="C32">
        <v>88063.5</v>
      </c>
      <c r="D32">
        <v>7583758.5</v>
      </c>
    </row>
    <row r="33" spans="1:4" x14ac:dyDescent="0.3">
      <c r="A33" s="12">
        <v>43970</v>
      </c>
      <c r="B33" t="s">
        <v>11</v>
      </c>
      <c r="C33">
        <v>84024</v>
      </c>
      <c r="D33">
        <v>6815511</v>
      </c>
    </row>
    <row r="34" spans="1:4" x14ac:dyDescent="0.3">
      <c r="A34" s="12">
        <v>43968</v>
      </c>
      <c r="B34" t="s">
        <v>11</v>
      </c>
      <c r="C34">
        <v>78057</v>
      </c>
      <c r="D34">
        <v>6774946.5</v>
      </c>
    </row>
    <row r="35" spans="1:4" x14ac:dyDescent="0.3">
      <c r="A35" s="12">
        <v>43960</v>
      </c>
      <c r="B35" t="s">
        <v>11</v>
      </c>
      <c r="C35">
        <v>69720</v>
      </c>
      <c r="D35">
        <v>6264933</v>
      </c>
    </row>
    <row r="36" spans="1:4" x14ac:dyDescent="0.3">
      <c r="A36" s="12">
        <v>43955</v>
      </c>
      <c r="B36" t="s">
        <v>11</v>
      </c>
      <c r="C36">
        <v>72928.5</v>
      </c>
      <c r="D36">
        <v>6642249</v>
      </c>
    </row>
    <row r="37" spans="1:4" x14ac:dyDescent="0.3">
      <c r="A37" s="12">
        <v>43950</v>
      </c>
      <c r="B37" t="s">
        <v>11</v>
      </c>
      <c r="C37">
        <v>79527</v>
      </c>
      <c r="D37">
        <v>7180498.5</v>
      </c>
    </row>
    <row r="38" spans="1:4" x14ac:dyDescent="0.3">
      <c r="A38" s="12">
        <v>43953</v>
      </c>
      <c r="B38" t="s">
        <v>11</v>
      </c>
      <c r="C38">
        <v>60463.5</v>
      </c>
      <c r="D38">
        <v>5554192.5</v>
      </c>
    </row>
    <row r="39" spans="1:4" x14ac:dyDescent="0.3">
      <c r="A39" s="12">
        <v>43977</v>
      </c>
      <c r="B39" t="s">
        <v>11</v>
      </c>
      <c r="C39">
        <v>79975.5</v>
      </c>
      <c r="D39">
        <v>6676459.5</v>
      </c>
    </row>
    <row r="40" spans="1:4" x14ac:dyDescent="0.3">
      <c r="A40" s="12">
        <v>43952</v>
      </c>
      <c r="B40" t="s">
        <v>11</v>
      </c>
      <c r="C40">
        <v>97534.5</v>
      </c>
      <c r="D40">
        <v>8893024.5</v>
      </c>
    </row>
    <row r="41" spans="1:4" x14ac:dyDescent="0.3">
      <c r="A41" s="12">
        <v>43963</v>
      </c>
      <c r="B41" t="s">
        <v>11</v>
      </c>
      <c r="C41">
        <v>71520</v>
      </c>
      <c r="D41">
        <v>6398361</v>
      </c>
    </row>
    <row r="42" spans="1:4" x14ac:dyDescent="0.3">
      <c r="A42" s="12">
        <v>43972</v>
      </c>
      <c r="B42" t="s">
        <v>11</v>
      </c>
      <c r="C42">
        <v>79485</v>
      </c>
      <c r="D42">
        <v>6633847.5</v>
      </c>
    </row>
    <row r="43" spans="1:4" x14ac:dyDescent="0.3">
      <c r="A43" s="12">
        <v>43971</v>
      </c>
      <c r="B43" t="s">
        <v>11</v>
      </c>
      <c r="C43">
        <v>93313.5</v>
      </c>
      <c r="D43">
        <v>7247575.5</v>
      </c>
    </row>
    <row r="44" spans="1:4" x14ac:dyDescent="0.3">
      <c r="A44" s="12">
        <v>43956</v>
      </c>
      <c r="B44" t="s">
        <v>11</v>
      </c>
      <c r="C44">
        <v>76585.5</v>
      </c>
      <c r="D44">
        <v>6921316.5</v>
      </c>
    </row>
    <row r="45" spans="1:4" x14ac:dyDescent="0.3">
      <c r="A45" s="12">
        <v>43949</v>
      </c>
      <c r="B45" t="s">
        <v>11</v>
      </c>
      <c r="C45">
        <v>81826.5</v>
      </c>
      <c r="D45">
        <v>7163644.5</v>
      </c>
    </row>
    <row r="46" spans="1:4" x14ac:dyDescent="0.3">
      <c r="A46" s="12">
        <v>43964</v>
      </c>
      <c r="B46" t="s">
        <v>11</v>
      </c>
      <c r="C46">
        <v>78846</v>
      </c>
      <c r="D46">
        <v>6993952.5</v>
      </c>
    </row>
    <row r="47" spans="1:4" x14ac:dyDescent="0.3">
      <c r="A47" s="12">
        <v>43954</v>
      </c>
      <c r="B47" t="s">
        <v>11</v>
      </c>
      <c r="C47">
        <v>77263.5</v>
      </c>
      <c r="D47">
        <v>7013670</v>
      </c>
    </row>
    <row r="48" spans="1:4" x14ac:dyDescent="0.3">
      <c r="A48" s="12">
        <v>43957</v>
      </c>
      <c r="B48" t="s">
        <v>11</v>
      </c>
      <c r="C48">
        <v>68994</v>
      </c>
      <c r="D48">
        <v>6168657</v>
      </c>
    </row>
    <row r="49" spans="1:4" x14ac:dyDescent="0.3">
      <c r="A49" s="12">
        <v>43974</v>
      </c>
      <c r="B49" t="s">
        <v>11</v>
      </c>
      <c r="C49">
        <v>102889.5</v>
      </c>
      <c r="D49">
        <v>8089143</v>
      </c>
    </row>
    <row r="50" spans="1:4" x14ac:dyDescent="0.3">
      <c r="A50" s="12">
        <v>43976</v>
      </c>
      <c r="B50" t="s">
        <v>11</v>
      </c>
      <c r="C50">
        <v>76999.5</v>
      </c>
      <c r="D50">
        <v>6645603</v>
      </c>
    </row>
    <row r="51" spans="1:4" x14ac:dyDescent="0.3">
      <c r="A51" s="12">
        <v>43951</v>
      </c>
      <c r="B51" t="s">
        <v>11</v>
      </c>
      <c r="C51">
        <v>77565</v>
      </c>
      <c r="D51">
        <v>7023727.5</v>
      </c>
    </row>
    <row r="52" spans="1:4" x14ac:dyDescent="0.3">
      <c r="A52" s="12">
        <v>43961</v>
      </c>
      <c r="B52" t="s">
        <v>11</v>
      </c>
      <c r="C52">
        <v>84132</v>
      </c>
      <c r="D52">
        <v>7483194</v>
      </c>
    </row>
    <row r="53" spans="1:4" x14ac:dyDescent="0.3">
      <c r="A53" s="12">
        <v>43959</v>
      </c>
      <c r="B53" t="s">
        <v>11</v>
      </c>
      <c r="C53">
        <v>69544.5</v>
      </c>
      <c r="D53">
        <v>6293776.5</v>
      </c>
    </row>
    <row r="54" spans="1:4" x14ac:dyDescent="0.3">
      <c r="A54" s="12">
        <v>43958</v>
      </c>
      <c r="B54" t="s">
        <v>11</v>
      </c>
      <c r="C54">
        <v>73204.5</v>
      </c>
      <c r="D54">
        <v>6591883.5</v>
      </c>
    </row>
    <row r="55" spans="1:4" x14ac:dyDescent="0.3">
      <c r="A55" s="12">
        <v>43975</v>
      </c>
      <c r="B55" t="s">
        <v>11</v>
      </c>
      <c r="C55">
        <v>76663.5</v>
      </c>
      <c r="D55">
        <v>6451032</v>
      </c>
    </row>
    <row r="56" spans="1:4" x14ac:dyDescent="0.3">
      <c r="A56" s="12">
        <v>43967</v>
      </c>
      <c r="B56" t="s">
        <v>12</v>
      </c>
      <c r="C56">
        <v>14265</v>
      </c>
      <c r="D56">
        <v>1130506.5</v>
      </c>
    </row>
    <row r="57" spans="1:4" x14ac:dyDescent="0.3">
      <c r="A57" s="12">
        <v>43970</v>
      </c>
      <c r="B57" t="s">
        <v>12</v>
      </c>
      <c r="C57">
        <v>11526</v>
      </c>
      <c r="D57">
        <v>938764.5</v>
      </c>
    </row>
    <row r="58" spans="1:4" x14ac:dyDescent="0.3">
      <c r="A58" s="12">
        <v>43968</v>
      </c>
      <c r="B58" t="s">
        <v>12</v>
      </c>
      <c r="C58">
        <v>10402.5</v>
      </c>
      <c r="D58">
        <v>843727.5</v>
      </c>
    </row>
    <row r="59" spans="1:4" x14ac:dyDescent="0.3">
      <c r="A59" s="12">
        <v>43960</v>
      </c>
      <c r="B59" t="s">
        <v>12</v>
      </c>
      <c r="C59">
        <v>13216.5</v>
      </c>
      <c r="D59">
        <v>1046400</v>
      </c>
    </row>
    <row r="60" spans="1:4" x14ac:dyDescent="0.3">
      <c r="A60" s="12">
        <v>43955</v>
      </c>
      <c r="B60" t="s">
        <v>12</v>
      </c>
      <c r="C60">
        <v>9130.5</v>
      </c>
      <c r="D60">
        <v>728890.5</v>
      </c>
    </row>
    <row r="61" spans="1:4" x14ac:dyDescent="0.3">
      <c r="A61" s="12">
        <v>43950</v>
      </c>
      <c r="B61" t="s">
        <v>12</v>
      </c>
      <c r="C61">
        <v>10840.5</v>
      </c>
      <c r="D61">
        <v>797919</v>
      </c>
    </row>
    <row r="62" spans="1:4" x14ac:dyDescent="0.3">
      <c r="A62" s="12">
        <v>43953</v>
      </c>
      <c r="B62" t="s">
        <v>12</v>
      </c>
      <c r="C62">
        <v>7866</v>
      </c>
      <c r="D62">
        <v>617881.5</v>
      </c>
    </row>
    <row r="63" spans="1:4" x14ac:dyDescent="0.3">
      <c r="A63" s="12">
        <v>43977</v>
      </c>
      <c r="B63" t="s">
        <v>12</v>
      </c>
      <c r="C63">
        <v>11835</v>
      </c>
      <c r="D63">
        <v>983109</v>
      </c>
    </row>
    <row r="64" spans="1:4" x14ac:dyDescent="0.3">
      <c r="A64" s="12">
        <v>43952</v>
      </c>
      <c r="B64" t="s">
        <v>12</v>
      </c>
      <c r="C64">
        <v>11619</v>
      </c>
      <c r="D64">
        <v>891139.5</v>
      </c>
    </row>
    <row r="65" spans="1:4" x14ac:dyDescent="0.3">
      <c r="A65" s="12">
        <v>43963</v>
      </c>
      <c r="B65" t="s">
        <v>12</v>
      </c>
      <c r="C65">
        <v>9328.5</v>
      </c>
      <c r="D65">
        <v>732964.5</v>
      </c>
    </row>
    <row r="66" spans="1:4" x14ac:dyDescent="0.3">
      <c r="A66" s="12">
        <v>43972</v>
      </c>
      <c r="B66" t="s">
        <v>12</v>
      </c>
      <c r="C66">
        <v>11250</v>
      </c>
      <c r="D66">
        <v>935523</v>
      </c>
    </row>
    <row r="67" spans="1:4" x14ac:dyDescent="0.3">
      <c r="A67" s="12">
        <v>43971</v>
      </c>
      <c r="B67" t="s">
        <v>12</v>
      </c>
      <c r="C67">
        <v>13063.5</v>
      </c>
      <c r="D67">
        <v>1037247</v>
      </c>
    </row>
    <row r="68" spans="1:4" x14ac:dyDescent="0.3">
      <c r="A68" s="12">
        <v>43956</v>
      </c>
      <c r="B68" t="s">
        <v>12</v>
      </c>
      <c r="C68">
        <v>10147.5</v>
      </c>
      <c r="D68">
        <v>793320</v>
      </c>
    </row>
    <row r="69" spans="1:4" x14ac:dyDescent="0.3">
      <c r="A69" s="12">
        <v>43949</v>
      </c>
      <c r="B69" t="s">
        <v>12</v>
      </c>
      <c r="C69">
        <v>12331.5</v>
      </c>
      <c r="D69">
        <v>869983.5</v>
      </c>
    </row>
    <row r="70" spans="1:4" x14ac:dyDescent="0.3">
      <c r="A70" s="12">
        <v>43964</v>
      </c>
      <c r="B70" t="s">
        <v>12</v>
      </c>
      <c r="C70">
        <v>11202</v>
      </c>
      <c r="D70">
        <v>865714.5</v>
      </c>
    </row>
    <row r="71" spans="1:4" x14ac:dyDescent="0.3">
      <c r="A71" s="12">
        <v>43982</v>
      </c>
      <c r="B71" t="s">
        <v>11</v>
      </c>
      <c r="C71">
        <v>89149.5</v>
      </c>
      <c r="D71">
        <v>7512646.5</v>
      </c>
    </row>
    <row r="72" spans="1:4" x14ac:dyDescent="0.3">
      <c r="A72" s="12">
        <v>43954</v>
      </c>
      <c r="B72" t="s">
        <v>12</v>
      </c>
      <c r="C72">
        <v>8185.5</v>
      </c>
      <c r="D72">
        <v>637881</v>
      </c>
    </row>
    <row r="73" spans="1:4" x14ac:dyDescent="0.3">
      <c r="A73" s="12">
        <v>43981</v>
      </c>
      <c r="B73" t="s">
        <v>11</v>
      </c>
      <c r="C73">
        <v>108123</v>
      </c>
      <c r="D73">
        <v>9164707.5</v>
      </c>
    </row>
    <row r="74" spans="1:4" x14ac:dyDescent="0.3">
      <c r="A74" s="12">
        <v>43957</v>
      </c>
      <c r="B74" t="s">
        <v>12</v>
      </c>
      <c r="C74">
        <v>9210</v>
      </c>
      <c r="D74">
        <v>696832.5</v>
      </c>
    </row>
    <row r="75" spans="1:4" x14ac:dyDescent="0.3">
      <c r="A75" s="12">
        <v>43974</v>
      </c>
      <c r="B75" t="s">
        <v>12</v>
      </c>
      <c r="C75">
        <v>14773.5</v>
      </c>
      <c r="D75">
        <v>1241383.5</v>
      </c>
    </row>
    <row r="76" spans="1:4" x14ac:dyDescent="0.3">
      <c r="A76" s="12">
        <v>43979</v>
      </c>
      <c r="B76" t="s">
        <v>11</v>
      </c>
      <c r="C76">
        <v>78141</v>
      </c>
      <c r="D76">
        <v>6641569.5</v>
      </c>
    </row>
    <row r="77" spans="1:4" x14ac:dyDescent="0.3">
      <c r="A77" s="12">
        <v>43976</v>
      </c>
      <c r="B77" t="s">
        <v>12</v>
      </c>
      <c r="C77">
        <v>12280.5</v>
      </c>
      <c r="D77">
        <v>1030440</v>
      </c>
    </row>
    <row r="78" spans="1:4" x14ac:dyDescent="0.3">
      <c r="A78" s="12">
        <v>43951</v>
      </c>
      <c r="B78" t="s">
        <v>12</v>
      </c>
      <c r="C78">
        <v>8934</v>
      </c>
      <c r="D78">
        <v>716196</v>
      </c>
    </row>
    <row r="79" spans="1:4" x14ac:dyDescent="0.3">
      <c r="A79" s="12">
        <v>43961</v>
      </c>
      <c r="B79" t="s">
        <v>12</v>
      </c>
      <c r="C79">
        <v>12918</v>
      </c>
      <c r="D79">
        <v>1004788.5</v>
      </c>
    </row>
    <row r="80" spans="1:4" x14ac:dyDescent="0.3">
      <c r="A80" s="12">
        <v>43959</v>
      </c>
      <c r="B80" t="s">
        <v>12</v>
      </c>
      <c r="C80">
        <v>12528</v>
      </c>
      <c r="D80">
        <v>959703</v>
      </c>
    </row>
    <row r="81" spans="1:4" x14ac:dyDescent="0.3">
      <c r="A81" s="12">
        <v>43958</v>
      </c>
      <c r="B81" t="s">
        <v>12</v>
      </c>
      <c r="C81">
        <v>11029.5</v>
      </c>
      <c r="D81">
        <v>863754</v>
      </c>
    </row>
    <row r="82" spans="1:4" x14ac:dyDescent="0.3">
      <c r="A82" s="12">
        <v>43975</v>
      </c>
      <c r="B82" t="s">
        <v>12</v>
      </c>
      <c r="C82">
        <v>9994.5</v>
      </c>
      <c r="D82">
        <v>828984</v>
      </c>
    </row>
    <row r="83" spans="1:4" x14ac:dyDescent="0.3">
      <c r="A83" s="12">
        <v>43982</v>
      </c>
      <c r="B83" t="s">
        <v>12</v>
      </c>
      <c r="C83">
        <v>12724.5</v>
      </c>
      <c r="D83">
        <v>1045515</v>
      </c>
    </row>
    <row r="84" spans="1:4" x14ac:dyDescent="0.3">
      <c r="A84" s="12">
        <v>43981</v>
      </c>
      <c r="B84" t="s">
        <v>12</v>
      </c>
      <c r="C84">
        <v>14728.5</v>
      </c>
      <c r="D84">
        <v>1260483</v>
      </c>
    </row>
    <row r="85" spans="1:4" x14ac:dyDescent="0.3">
      <c r="A85" s="12">
        <v>43979</v>
      </c>
      <c r="B85" t="s">
        <v>12</v>
      </c>
      <c r="C85">
        <v>13038</v>
      </c>
      <c r="D85">
        <v>1114552.5</v>
      </c>
    </row>
    <row r="86" spans="1:4" x14ac:dyDescent="0.3">
      <c r="A86" s="12">
        <v>43967</v>
      </c>
      <c r="B86" t="s">
        <v>13</v>
      </c>
      <c r="C86">
        <v>35482.5</v>
      </c>
      <c r="D86">
        <v>3222517.5</v>
      </c>
    </row>
    <row r="87" spans="1:4" x14ac:dyDescent="0.3">
      <c r="A87" s="12">
        <v>43970</v>
      </c>
      <c r="B87" t="s">
        <v>13</v>
      </c>
      <c r="C87">
        <v>32434.5</v>
      </c>
      <c r="D87">
        <v>2865337.5</v>
      </c>
    </row>
    <row r="88" spans="1:4" x14ac:dyDescent="0.3">
      <c r="A88" s="12">
        <v>43968</v>
      </c>
      <c r="B88" t="s">
        <v>13</v>
      </c>
      <c r="C88">
        <v>30486</v>
      </c>
      <c r="D88">
        <v>2694289.5</v>
      </c>
    </row>
    <row r="89" spans="1:4" x14ac:dyDescent="0.3">
      <c r="A89" s="12">
        <v>43960</v>
      </c>
      <c r="B89" t="s">
        <v>13</v>
      </c>
      <c r="C89">
        <v>32079</v>
      </c>
      <c r="D89">
        <v>2902167</v>
      </c>
    </row>
    <row r="90" spans="1:4" x14ac:dyDescent="0.3">
      <c r="A90" s="12">
        <v>43955</v>
      </c>
      <c r="B90" t="s">
        <v>13</v>
      </c>
      <c r="C90">
        <v>27072</v>
      </c>
      <c r="D90">
        <v>2450968.5</v>
      </c>
    </row>
    <row r="91" spans="1:4" x14ac:dyDescent="0.3">
      <c r="A91" s="12">
        <v>43950</v>
      </c>
      <c r="B91" t="s">
        <v>13</v>
      </c>
      <c r="C91">
        <v>25917</v>
      </c>
      <c r="D91">
        <v>2397588</v>
      </c>
    </row>
    <row r="92" spans="1:4" x14ac:dyDescent="0.3">
      <c r="A92" s="12">
        <v>43953</v>
      </c>
      <c r="B92" t="s">
        <v>13</v>
      </c>
      <c r="C92">
        <v>19461</v>
      </c>
      <c r="D92">
        <v>1799230.5</v>
      </c>
    </row>
    <row r="93" spans="1:4" x14ac:dyDescent="0.3">
      <c r="A93" s="12">
        <v>43977</v>
      </c>
      <c r="B93" t="s">
        <v>13</v>
      </c>
      <c r="C93">
        <v>31407</v>
      </c>
      <c r="D93">
        <v>2907411</v>
      </c>
    </row>
    <row r="94" spans="1:4" x14ac:dyDescent="0.3">
      <c r="A94" s="12">
        <v>43952</v>
      </c>
      <c r="B94" t="s">
        <v>13</v>
      </c>
      <c r="C94">
        <v>25792.5</v>
      </c>
      <c r="D94">
        <v>2374356</v>
      </c>
    </row>
    <row r="95" spans="1:4" x14ac:dyDescent="0.3">
      <c r="A95" s="12">
        <v>43963</v>
      </c>
      <c r="B95" t="s">
        <v>13</v>
      </c>
      <c r="C95">
        <v>26032.5</v>
      </c>
      <c r="D95">
        <v>2370432</v>
      </c>
    </row>
    <row r="96" spans="1:4" x14ac:dyDescent="0.3">
      <c r="A96" s="12">
        <v>43972</v>
      </c>
      <c r="B96" t="s">
        <v>13</v>
      </c>
      <c r="C96">
        <v>31707</v>
      </c>
      <c r="D96">
        <v>2853181.5</v>
      </c>
    </row>
    <row r="97" spans="1:4" x14ac:dyDescent="0.3">
      <c r="A97" s="12">
        <v>43971</v>
      </c>
      <c r="B97" t="s">
        <v>13</v>
      </c>
      <c r="C97">
        <v>29955</v>
      </c>
      <c r="D97">
        <v>2692230</v>
      </c>
    </row>
    <row r="98" spans="1:4" x14ac:dyDescent="0.3">
      <c r="A98" s="12">
        <v>43956</v>
      </c>
      <c r="B98" t="s">
        <v>13</v>
      </c>
      <c r="C98">
        <v>22848</v>
      </c>
      <c r="D98">
        <v>2079900</v>
      </c>
    </row>
    <row r="99" spans="1:4" x14ac:dyDescent="0.3">
      <c r="A99" s="12">
        <v>43949</v>
      </c>
      <c r="B99" t="s">
        <v>13</v>
      </c>
      <c r="C99">
        <v>23314.5</v>
      </c>
      <c r="D99">
        <v>2136817.5</v>
      </c>
    </row>
    <row r="100" spans="1:4" x14ac:dyDescent="0.3">
      <c r="A100" s="12">
        <v>43964</v>
      </c>
      <c r="B100" t="s">
        <v>13</v>
      </c>
      <c r="C100">
        <v>26464.5</v>
      </c>
      <c r="D100">
        <v>2373337.5</v>
      </c>
    </row>
    <row r="101" spans="1:4" x14ac:dyDescent="0.3">
      <c r="A101" s="12">
        <v>43954</v>
      </c>
      <c r="B101" t="s">
        <v>13</v>
      </c>
      <c r="C101">
        <v>23539.5</v>
      </c>
      <c r="D101">
        <v>2170309.5</v>
      </c>
    </row>
    <row r="102" spans="1:4" x14ac:dyDescent="0.3">
      <c r="A102" s="12">
        <v>43957</v>
      </c>
      <c r="B102" t="s">
        <v>13</v>
      </c>
      <c r="C102">
        <v>24678</v>
      </c>
      <c r="D102">
        <v>2232519</v>
      </c>
    </row>
    <row r="103" spans="1:4" x14ac:dyDescent="0.3">
      <c r="A103" s="12">
        <v>43974</v>
      </c>
      <c r="B103" t="s">
        <v>13</v>
      </c>
      <c r="C103">
        <v>38176.5</v>
      </c>
      <c r="D103">
        <v>3385372.5</v>
      </c>
    </row>
    <row r="104" spans="1:4" x14ac:dyDescent="0.3">
      <c r="A104" s="12">
        <v>43976</v>
      </c>
      <c r="B104" t="s">
        <v>13</v>
      </c>
      <c r="C104">
        <v>30603</v>
      </c>
      <c r="D104">
        <v>2865727.5</v>
      </c>
    </row>
    <row r="105" spans="1:4" x14ac:dyDescent="0.3">
      <c r="A105" s="12">
        <v>43951</v>
      </c>
      <c r="B105" t="s">
        <v>13</v>
      </c>
      <c r="C105">
        <v>24211.5</v>
      </c>
      <c r="D105">
        <v>2267664</v>
      </c>
    </row>
    <row r="106" spans="1:4" x14ac:dyDescent="0.3">
      <c r="A106" s="12">
        <v>43961</v>
      </c>
      <c r="B106" t="s">
        <v>13</v>
      </c>
      <c r="C106">
        <v>31399.5</v>
      </c>
      <c r="D106">
        <v>2862298.5</v>
      </c>
    </row>
    <row r="107" spans="1:4" x14ac:dyDescent="0.3">
      <c r="A107" s="12">
        <v>43959</v>
      </c>
      <c r="B107" t="s">
        <v>13</v>
      </c>
      <c r="C107">
        <v>25294.5</v>
      </c>
      <c r="D107">
        <v>2271454.5</v>
      </c>
    </row>
    <row r="108" spans="1:4" x14ac:dyDescent="0.3">
      <c r="A108" s="12">
        <v>43958</v>
      </c>
      <c r="B108" t="s">
        <v>13</v>
      </c>
      <c r="C108">
        <v>25468.5</v>
      </c>
      <c r="D108">
        <v>2350672.5</v>
      </c>
    </row>
    <row r="109" spans="1:4" x14ac:dyDescent="0.3">
      <c r="A109" s="12">
        <v>43975</v>
      </c>
      <c r="B109" t="s">
        <v>13</v>
      </c>
      <c r="C109">
        <v>31854</v>
      </c>
      <c r="D109">
        <v>2915533.5</v>
      </c>
    </row>
    <row r="110" spans="1:4" x14ac:dyDescent="0.3">
      <c r="A110" s="12">
        <v>43982</v>
      </c>
      <c r="B110" t="s">
        <v>13</v>
      </c>
      <c r="C110">
        <v>32359.5</v>
      </c>
      <c r="D110">
        <v>2991999</v>
      </c>
    </row>
    <row r="111" spans="1:4" x14ac:dyDescent="0.3">
      <c r="A111" s="12">
        <v>43981</v>
      </c>
      <c r="B111" t="s">
        <v>13</v>
      </c>
      <c r="C111">
        <v>39867</v>
      </c>
      <c r="D111">
        <v>3654166.5</v>
      </c>
    </row>
    <row r="112" spans="1:4" x14ac:dyDescent="0.3">
      <c r="A112" s="12">
        <v>43979</v>
      </c>
      <c r="B112" t="s">
        <v>13</v>
      </c>
      <c r="C112">
        <v>31974</v>
      </c>
      <c r="D112">
        <v>3004213.5</v>
      </c>
    </row>
    <row r="113" spans="1:4" x14ac:dyDescent="0.3">
      <c r="A113" s="12">
        <v>43967</v>
      </c>
      <c r="B113" t="s">
        <v>14</v>
      </c>
      <c r="C113">
        <v>321412.5</v>
      </c>
      <c r="D113">
        <v>32235864</v>
      </c>
    </row>
    <row r="114" spans="1:4" x14ac:dyDescent="0.3">
      <c r="A114" s="12">
        <v>43970</v>
      </c>
      <c r="B114" t="s">
        <v>14</v>
      </c>
      <c r="C114">
        <v>276568.5</v>
      </c>
      <c r="D114">
        <v>27093624</v>
      </c>
    </row>
    <row r="115" spans="1:4" x14ac:dyDescent="0.3">
      <c r="A115" s="12">
        <v>43968</v>
      </c>
      <c r="B115" t="s">
        <v>14</v>
      </c>
      <c r="C115">
        <v>269029.5</v>
      </c>
      <c r="D115">
        <v>26659930.5</v>
      </c>
    </row>
    <row r="116" spans="1:4" x14ac:dyDescent="0.3">
      <c r="A116" s="12">
        <v>43960</v>
      </c>
      <c r="B116" t="s">
        <v>14</v>
      </c>
      <c r="C116">
        <v>285972</v>
      </c>
      <c r="D116">
        <v>29768199</v>
      </c>
    </row>
    <row r="117" spans="1:4" x14ac:dyDescent="0.3">
      <c r="A117" s="12">
        <v>43955</v>
      </c>
      <c r="B117" t="s">
        <v>14</v>
      </c>
      <c r="C117">
        <v>283942.5</v>
      </c>
      <c r="D117">
        <v>29357940</v>
      </c>
    </row>
    <row r="118" spans="1:4" x14ac:dyDescent="0.3">
      <c r="A118" s="12">
        <v>43950</v>
      </c>
      <c r="B118" t="s">
        <v>14</v>
      </c>
      <c r="C118">
        <v>298059</v>
      </c>
      <c r="D118">
        <v>30869287.5</v>
      </c>
    </row>
    <row r="119" spans="1:4" x14ac:dyDescent="0.3">
      <c r="A119" s="12">
        <v>43953</v>
      </c>
      <c r="B119" t="s">
        <v>14</v>
      </c>
      <c r="C119">
        <v>232903.5</v>
      </c>
      <c r="D119">
        <v>24342016.5</v>
      </c>
    </row>
    <row r="120" spans="1:4" x14ac:dyDescent="0.3">
      <c r="A120" s="12">
        <v>43977</v>
      </c>
      <c r="B120" t="s">
        <v>14</v>
      </c>
      <c r="C120">
        <v>276966</v>
      </c>
      <c r="D120">
        <v>27872617.898850001</v>
      </c>
    </row>
    <row r="121" spans="1:4" x14ac:dyDescent="0.3">
      <c r="A121" s="12">
        <v>43952</v>
      </c>
      <c r="B121" t="s">
        <v>14</v>
      </c>
      <c r="C121">
        <v>296149.5</v>
      </c>
      <c r="D121">
        <v>31053316.5</v>
      </c>
    </row>
    <row r="122" spans="1:4" x14ac:dyDescent="0.3">
      <c r="A122" s="12">
        <v>43963</v>
      </c>
      <c r="B122" t="s">
        <v>14</v>
      </c>
      <c r="C122">
        <v>281796</v>
      </c>
      <c r="D122">
        <v>29042520</v>
      </c>
    </row>
    <row r="123" spans="1:4" x14ac:dyDescent="0.3">
      <c r="A123" s="12">
        <v>43972</v>
      </c>
      <c r="B123" t="s">
        <v>14</v>
      </c>
      <c r="C123">
        <v>288936</v>
      </c>
      <c r="D123">
        <v>27852900</v>
      </c>
    </row>
    <row r="124" spans="1:4" x14ac:dyDescent="0.3">
      <c r="A124" s="12">
        <v>43971</v>
      </c>
      <c r="B124" t="s">
        <v>14</v>
      </c>
      <c r="C124">
        <v>300151.5</v>
      </c>
      <c r="D124">
        <v>29368771.617449999</v>
      </c>
    </row>
    <row r="125" spans="1:4" x14ac:dyDescent="0.3">
      <c r="A125" s="12">
        <v>43956</v>
      </c>
      <c r="B125" t="s">
        <v>14</v>
      </c>
      <c r="C125">
        <v>262734</v>
      </c>
      <c r="D125">
        <v>27278441.145</v>
      </c>
    </row>
    <row r="126" spans="1:4" x14ac:dyDescent="0.3">
      <c r="A126" s="12">
        <v>43949</v>
      </c>
      <c r="B126" t="s">
        <v>14</v>
      </c>
      <c r="C126">
        <v>286002</v>
      </c>
      <c r="D126">
        <v>29159032.5</v>
      </c>
    </row>
    <row r="127" spans="1:4" x14ac:dyDescent="0.3">
      <c r="A127" s="12">
        <v>43964</v>
      </c>
      <c r="B127" t="s">
        <v>14</v>
      </c>
      <c r="C127">
        <v>258459</v>
      </c>
      <c r="D127">
        <v>26467453.5</v>
      </c>
    </row>
    <row r="128" spans="1:4" x14ac:dyDescent="0.3">
      <c r="A128" s="12">
        <v>43954</v>
      </c>
      <c r="B128" t="s">
        <v>14</v>
      </c>
      <c r="C128">
        <v>274083</v>
      </c>
      <c r="D128">
        <v>28427001</v>
      </c>
    </row>
    <row r="129" spans="1:4" x14ac:dyDescent="0.3">
      <c r="A129" s="12">
        <v>43957</v>
      </c>
      <c r="B129" t="s">
        <v>14</v>
      </c>
      <c r="C129">
        <v>277512</v>
      </c>
      <c r="D129">
        <v>28770810.105599999</v>
      </c>
    </row>
    <row r="130" spans="1:4" x14ac:dyDescent="0.3">
      <c r="A130" s="12">
        <v>43974</v>
      </c>
      <c r="B130" t="s">
        <v>14</v>
      </c>
      <c r="C130">
        <v>356982</v>
      </c>
      <c r="D130">
        <v>35103926.711549997</v>
      </c>
    </row>
    <row r="131" spans="1:4" x14ac:dyDescent="0.3">
      <c r="A131" s="12">
        <v>43976</v>
      </c>
      <c r="B131" t="s">
        <v>14</v>
      </c>
      <c r="C131">
        <v>266983.5</v>
      </c>
      <c r="D131">
        <v>27165913.5</v>
      </c>
    </row>
    <row r="132" spans="1:4" x14ac:dyDescent="0.3">
      <c r="A132" s="12">
        <v>43951</v>
      </c>
      <c r="B132" t="s">
        <v>14</v>
      </c>
      <c r="C132">
        <v>311131.5</v>
      </c>
      <c r="D132">
        <v>32418879</v>
      </c>
    </row>
    <row r="133" spans="1:4" x14ac:dyDescent="0.3">
      <c r="A133" s="12">
        <v>43961</v>
      </c>
      <c r="B133" t="s">
        <v>14</v>
      </c>
      <c r="C133">
        <v>287206.5</v>
      </c>
      <c r="D133">
        <v>29536176.10605</v>
      </c>
    </row>
    <row r="134" spans="1:4" x14ac:dyDescent="0.3">
      <c r="A134" s="12">
        <v>43959</v>
      </c>
      <c r="B134" t="s">
        <v>14</v>
      </c>
      <c r="C134">
        <v>370092</v>
      </c>
      <c r="D134">
        <v>38091556.5</v>
      </c>
    </row>
    <row r="135" spans="1:4" x14ac:dyDescent="0.3">
      <c r="A135" s="12">
        <v>43958</v>
      </c>
      <c r="B135" t="s">
        <v>14</v>
      </c>
      <c r="C135">
        <v>247813.5</v>
      </c>
      <c r="D135">
        <v>25325271</v>
      </c>
    </row>
    <row r="136" spans="1:4" x14ac:dyDescent="0.3">
      <c r="A136" s="12">
        <v>43975</v>
      </c>
      <c r="B136" t="s">
        <v>14</v>
      </c>
      <c r="C136">
        <v>287740.5</v>
      </c>
      <c r="D136">
        <v>28188534</v>
      </c>
    </row>
    <row r="137" spans="1:4" x14ac:dyDescent="0.3">
      <c r="A137" s="12">
        <v>43967</v>
      </c>
      <c r="B137" t="s">
        <v>15</v>
      </c>
      <c r="C137">
        <v>408810</v>
      </c>
      <c r="D137">
        <v>42323631</v>
      </c>
    </row>
    <row r="138" spans="1:4" x14ac:dyDescent="0.3">
      <c r="A138" s="12">
        <v>43970</v>
      </c>
      <c r="B138" t="s">
        <v>15</v>
      </c>
      <c r="C138">
        <v>362536.5</v>
      </c>
      <c r="D138">
        <v>37023243</v>
      </c>
    </row>
    <row r="139" spans="1:4" x14ac:dyDescent="0.3">
      <c r="A139" s="12">
        <v>43968</v>
      </c>
      <c r="B139" t="s">
        <v>15</v>
      </c>
      <c r="C139">
        <v>357072</v>
      </c>
      <c r="D139">
        <v>36834567</v>
      </c>
    </row>
    <row r="140" spans="1:4" x14ac:dyDescent="0.3">
      <c r="A140" s="12">
        <v>43960</v>
      </c>
      <c r="B140" t="s">
        <v>15</v>
      </c>
      <c r="C140">
        <v>359214</v>
      </c>
      <c r="D140">
        <v>38693427</v>
      </c>
    </row>
    <row r="141" spans="1:4" x14ac:dyDescent="0.3">
      <c r="A141" s="12">
        <v>43955</v>
      </c>
      <c r="B141" t="s">
        <v>15</v>
      </c>
      <c r="C141">
        <v>360255</v>
      </c>
      <c r="D141">
        <v>38406954</v>
      </c>
    </row>
    <row r="142" spans="1:4" x14ac:dyDescent="0.3">
      <c r="A142" s="12">
        <v>43950</v>
      </c>
      <c r="B142" t="s">
        <v>15</v>
      </c>
      <c r="C142">
        <v>387220.5</v>
      </c>
      <c r="D142">
        <v>41559384</v>
      </c>
    </row>
    <row r="143" spans="1:4" x14ac:dyDescent="0.3">
      <c r="A143" s="12">
        <v>43953</v>
      </c>
      <c r="B143" t="s">
        <v>15</v>
      </c>
      <c r="C143">
        <v>296580</v>
      </c>
      <c r="D143">
        <v>31843737</v>
      </c>
    </row>
    <row r="144" spans="1:4" x14ac:dyDescent="0.3">
      <c r="A144" s="12">
        <v>43977</v>
      </c>
      <c r="B144" t="s">
        <v>15</v>
      </c>
      <c r="C144">
        <v>369861</v>
      </c>
      <c r="D144">
        <v>38365960.5</v>
      </c>
    </row>
    <row r="145" spans="1:4" x14ac:dyDescent="0.3">
      <c r="A145" s="12">
        <v>43952</v>
      </c>
      <c r="B145" t="s">
        <v>15</v>
      </c>
      <c r="C145">
        <v>372504</v>
      </c>
      <c r="D145">
        <v>40077193.5</v>
      </c>
    </row>
    <row r="146" spans="1:4" x14ac:dyDescent="0.3">
      <c r="A146" s="12">
        <v>43963</v>
      </c>
      <c r="B146" t="s">
        <v>15</v>
      </c>
      <c r="C146">
        <v>373392</v>
      </c>
      <c r="D146">
        <v>39578577</v>
      </c>
    </row>
    <row r="147" spans="1:4" x14ac:dyDescent="0.3">
      <c r="A147" s="12">
        <v>43972</v>
      </c>
      <c r="B147" t="s">
        <v>15</v>
      </c>
      <c r="C147">
        <v>378043.5</v>
      </c>
      <c r="D147">
        <v>37902156.57</v>
      </c>
    </row>
    <row r="148" spans="1:4" x14ac:dyDescent="0.3">
      <c r="A148" s="12">
        <v>43971</v>
      </c>
      <c r="B148" t="s">
        <v>15</v>
      </c>
      <c r="C148">
        <v>388668</v>
      </c>
      <c r="D148">
        <v>39639309</v>
      </c>
    </row>
    <row r="149" spans="1:4" x14ac:dyDescent="0.3">
      <c r="A149" s="12">
        <v>43956</v>
      </c>
      <c r="B149" t="s">
        <v>15</v>
      </c>
      <c r="C149">
        <v>333792</v>
      </c>
      <c r="D149">
        <v>35671734</v>
      </c>
    </row>
    <row r="150" spans="1:4" x14ac:dyDescent="0.3">
      <c r="A150" s="12">
        <v>43949</v>
      </c>
      <c r="B150" t="s">
        <v>15</v>
      </c>
      <c r="C150">
        <v>376060.5</v>
      </c>
      <c r="D150">
        <v>39918028.5</v>
      </c>
    </row>
    <row r="151" spans="1:4" x14ac:dyDescent="0.3">
      <c r="A151" s="12">
        <v>43964</v>
      </c>
      <c r="B151" t="s">
        <v>15</v>
      </c>
      <c r="C151">
        <v>350068.5</v>
      </c>
      <c r="D151">
        <v>37197115.5</v>
      </c>
    </row>
    <row r="152" spans="1:4" x14ac:dyDescent="0.3">
      <c r="A152" s="12">
        <v>43982</v>
      </c>
      <c r="B152" t="s">
        <v>14</v>
      </c>
      <c r="C152">
        <v>294337.5</v>
      </c>
      <c r="D152">
        <v>29327766</v>
      </c>
    </row>
    <row r="153" spans="1:4" x14ac:dyDescent="0.3">
      <c r="A153" s="12">
        <v>43954</v>
      </c>
      <c r="B153" t="s">
        <v>15</v>
      </c>
      <c r="C153">
        <v>342666</v>
      </c>
      <c r="D153">
        <v>36631999.5</v>
      </c>
    </row>
    <row r="154" spans="1:4" x14ac:dyDescent="0.3">
      <c r="A154" s="12">
        <v>43981</v>
      </c>
      <c r="B154" t="s">
        <v>14</v>
      </c>
      <c r="C154">
        <v>364882.5</v>
      </c>
      <c r="D154">
        <v>35724493.5</v>
      </c>
    </row>
    <row r="155" spans="1:4" x14ac:dyDescent="0.3">
      <c r="A155" s="12">
        <v>43957</v>
      </c>
      <c r="B155" t="s">
        <v>15</v>
      </c>
      <c r="C155">
        <v>355278</v>
      </c>
      <c r="D155">
        <v>38092344</v>
      </c>
    </row>
    <row r="156" spans="1:4" x14ac:dyDescent="0.3">
      <c r="A156" s="12">
        <v>43974</v>
      </c>
      <c r="B156" t="s">
        <v>15</v>
      </c>
      <c r="C156">
        <v>456885</v>
      </c>
      <c r="D156">
        <v>46408080</v>
      </c>
    </row>
    <row r="157" spans="1:4" x14ac:dyDescent="0.3">
      <c r="A157" s="12">
        <v>43979</v>
      </c>
      <c r="B157" t="s">
        <v>14</v>
      </c>
      <c r="C157">
        <v>278491.5</v>
      </c>
      <c r="D157">
        <v>28151004.75</v>
      </c>
    </row>
    <row r="158" spans="1:4" x14ac:dyDescent="0.3">
      <c r="A158" s="12">
        <v>43976</v>
      </c>
      <c r="B158" t="s">
        <v>15</v>
      </c>
      <c r="C158">
        <v>349734</v>
      </c>
      <c r="D158">
        <v>36883428</v>
      </c>
    </row>
    <row r="159" spans="1:4" x14ac:dyDescent="0.3">
      <c r="A159" s="12">
        <v>43951</v>
      </c>
      <c r="B159" t="s">
        <v>15</v>
      </c>
      <c r="C159">
        <v>401580</v>
      </c>
      <c r="D159">
        <v>43028734.5</v>
      </c>
    </row>
    <row r="160" spans="1:4" x14ac:dyDescent="0.3">
      <c r="A160" s="12">
        <v>43961</v>
      </c>
      <c r="B160" t="s">
        <v>15</v>
      </c>
      <c r="C160">
        <v>368649</v>
      </c>
      <c r="D160">
        <v>39010875</v>
      </c>
    </row>
    <row r="161" spans="1:4" x14ac:dyDescent="0.3">
      <c r="A161" s="12">
        <v>43959</v>
      </c>
      <c r="B161" t="s">
        <v>15</v>
      </c>
      <c r="C161">
        <v>463530</v>
      </c>
      <c r="D161">
        <v>49123180.5</v>
      </c>
    </row>
    <row r="162" spans="1:4" x14ac:dyDescent="0.3">
      <c r="A162" s="12">
        <v>43958</v>
      </c>
      <c r="B162" t="s">
        <v>15</v>
      </c>
      <c r="C162">
        <v>319110</v>
      </c>
      <c r="D162">
        <v>33763989</v>
      </c>
    </row>
    <row r="163" spans="1:4" x14ac:dyDescent="0.3">
      <c r="A163" s="12">
        <v>43975</v>
      </c>
      <c r="B163" t="s">
        <v>15</v>
      </c>
      <c r="C163">
        <v>375744</v>
      </c>
      <c r="D163">
        <v>38191381.5</v>
      </c>
    </row>
    <row r="164" spans="1:4" x14ac:dyDescent="0.3">
      <c r="A164" s="12">
        <v>43967</v>
      </c>
      <c r="B164" t="s">
        <v>16</v>
      </c>
      <c r="C164">
        <v>81331.5</v>
      </c>
      <c r="D164">
        <v>6652179</v>
      </c>
    </row>
    <row r="165" spans="1:4" x14ac:dyDescent="0.3">
      <c r="A165" s="12">
        <v>43970</v>
      </c>
      <c r="B165" t="s">
        <v>16</v>
      </c>
      <c r="C165">
        <v>75796.5</v>
      </c>
      <c r="D165">
        <v>6173463</v>
      </c>
    </row>
    <row r="166" spans="1:4" x14ac:dyDescent="0.3">
      <c r="A166" s="12">
        <v>43968</v>
      </c>
      <c r="B166" t="s">
        <v>16</v>
      </c>
      <c r="C166">
        <v>72861</v>
      </c>
      <c r="D166">
        <v>5952802.5</v>
      </c>
    </row>
    <row r="167" spans="1:4" x14ac:dyDescent="0.3">
      <c r="A167" s="12">
        <v>43960</v>
      </c>
      <c r="B167" t="s">
        <v>16</v>
      </c>
      <c r="C167">
        <v>83373</v>
      </c>
      <c r="D167">
        <v>7253427</v>
      </c>
    </row>
    <row r="168" spans="1:4" x14ac:dyDescent="0.3">
      <c r="A168" s="12">
        <v>43955</v>
      </c>
      <c r="B168" t="s">
        <v>16</v>
      </c>
      <c r="C168">
        <v>64108.5</v>
      </c>
      <c r="D168">
        <v>5561452.5</v>
      </c>
    </row>
    <row r="169" spans="1:4" x14ac:dyDescent="0.3">
      <c r="A169" s="12">
        <v>43950</v>
      </c>
      <c r="B169" t="s">
        <v>16</v>
      </c>
      <c r="C169">
        <v>74707.5</v>
      </c>
      <c r="D169">
        <v>6454458</v>
      </c>
    </row>
    <row r="170" spans="1:4" x14ac:dyDescent="0.3">
      <c r="A170" s="12">
        <v>43953</v>
      </c>
      <c r="B170" t="s">
        <v>16</v>
      </c>
      <c r="C170">
        <v>46216.5</v>
      </c>
      <c r="D170">
        <v>4118251.5</v>
      </c>
    </row>
    <row r="171" spans="1:4" x14ac:dyDescent="0.3">
      <c r="A171" s="12">
        <v>43977</v>
      </c>
      <c r="B171" t="s">
        <v>16</v>
      </c>
      <c r="C171">
        <v>67726.5</v>
      </c>
      <c r="D171">
        <v>5864989.5</v>
      </c>
    </row>
    <row r="172" spans="1:4" x14ac:dyDescent="0.3">
      <c r="A172" s="12">
        <v>43952</v>
      </c>
      <c r="B172" t="s">
        <v>16</v>
      </c>
      <c r="C172">
        <v>82228.5</v>
      </c>
      <c r="D172">
        <v>7032225</v>
      </c>
    </row>
    <row r="173" spans="1:4" x14ac:dyDescent="0.3">
      <c r="A173" s="12">
        <v>43963</v>
      </c>
      <c r="B173" t="s">
        <v>16</v>
      </c>
      <c r="C173">
        <v>64390.5</v>
      </c>
      <c r="D173">
        <v>5523145.5</v>
      </c>
    </row>
    <row r="174" spans="1:4" x14ac:dyDescent="0.3">
      <c r="A174" s="12">
        <v>43972</v>
      </c>
      <c r="B174" t="s">
        <v>16</v>
      </c>
      <c r="C174">
        <v>73126.5</v>
      </c>
      <c r="D174">
        <v>5864085</v>
      </c>
    </row>
    <row r="175" spans="1:4" x14ac:dyDescent="0.3">
      <c r="A175" s="12">
        <v>43971</v>
      </c>
      <c r="B175" t="s">
        <v>16</v>
      </c>
      <c r="C175">
        <v>99631.5</v>
      </c>
      <c r="D175">
        <v>7121946</v>
      </c>
    </row>
    <row r="176" spans="1:4" x14ac:dyDescent="0.3">
      <c r="A176" s="12">
        <v>43956</v>
      </c>
      <c r="B176" t="s">
        <v>16</v>
      </c>
      <c r="C176">
        <v>66396</v>
      </c>
      <c r="D176">
        <v>5770539</v>
      </c>
    </row>
    <row r="177" spans="1:4" x14ac:dyDescent="0.3">
      <c r="A177" s="12">
        <v>43949</v>
      </c>
      <c r="B177" t="s">
        <v>16</v>
      </c>
      <c r="C177">
        <v>73147.5</v>
      </c>
      <c r="D177">
        <v>6288246</v>
      </c>
    </row>
    <row r="178" spans="1:4" x14ac:dyDescent="0.3">
      <c r="A178" s="12">
        <v>43964</v>
      </c>
      <c r="B178" t="s">
        <v>16</v>
      </c>
      <c r="C178">
        <v>73062</v>
      </c>
      <c r="D178">
        <v>6333828</v>
      </c>
    </row>
    <row r="179" spans="1:4" x14ac:dyDescent="0.3">
      <c r="A179" s="12">
        <v>43982</v>
      </c>
      <c r="B179" t="s">
        <v>15</v>
      </c>
      <c r="C179">
        <v>379663.5</v>
      </c>
      <c r="D179">
        <v>39380178</v>
      </c>
    </row>
    <row r="180" spans="1:4" x14ac:dyDescent="0.3">
      <c r="A180" s="12">
        <v>43954</v>
      </c>
      <c r="B180" t="s">
        <v>16</v>
      </c>
      <c r="C180">
        <v>70581</v>
      </c>
      <c r="D180">
        <v>6221320.5</v>
      </c>
    </row>
    <row r="181" spans="1:4" x14ac:dyDescent="0.3">
      <c r="A181" s="12">
        <v>43981</v>
      </c>
      <c r="B181" t="s">
        <v>15</v>
      </c>
      <c r="C181">
        <v>453123</v>
      </c>
      <c r="D181">
        <v>46370904</v>
      </c>
    </row>
    <row r="182" spans="1:4" x14ac:dyDescent="0.3">
      <c r="A182" s="12">
        <v>43957</v>
      </c>
      <c r="B182" t="s">
        <v>16</v>
      </c>
      <c r="C182">
        <v>63012</v>
      </c>
      <c r="D182">
        <v>5454121.5</v>
      </c>
    </row>
    <row r="183" spans="1:4" x14ac:dyDescent="0.3">
      <c r="A183" s="12">
        <v>43974</v>
      </c>
      <c r="B183" t="s">
        <v>16</v>
      </c>
      <c r="C183">
        <v>89556</v>
      </c>
      <c r="D183">
        <v>7173117</v>
      </c>
    </row>
    <row r="184" spans="1:4" x14ac:dyDescent="0.3">
      <c r="A184" s="12">
        <v>43979</v>
      </c>
      <c r="B184" t="s">
        <v>15</v>
      </c>
      <c r="C184">
        <v>364638</v>
      </c>
      <c r="D184">
        <v>37947688.5</v>
      </c>
    </row>
    <row r="185" spans="1:4" x14ac:dyDescent="0.3">
      <c r="A185" s="12">
        <v>43976</v>
      </c>
      <c r="B185" t="s">
        <v>16</v>
      </c>
      <c r="C185">
        <v>66316.5</v>
      </c>
      <c r="D185">
        <v>5704650</v>
      </c>
    </row>
    <row r="186" spans="1:4" x14ac:dyDescent="0.3">
      <c r="A186" s="12">
        <v>43951</v>
      </c>
      <c r="B186" t="s">
        <v>16</v>
      </c>
      <c r="C186">
        <v>78235.5</v>
      </c>
      <c r="D186">
        <v>6819594</v>
      </c>
    </row>
    <row r="187" spans="1:4" x14ac:dyDescent="0.3">
      <c r="A187" s="12">
        <v>43961</v>
      </c>
      <c r="B187" t="s">
        <v>16</v>
      </c>
      <c r="C187">
        <v>88311</v>
      </c>
      <c r="D187">
        <v>7726069.5</v>
      </c>
    </row>
    <row r="188" spans="1:4" x14ac:dyDescent="0.3">
      <c r="A188" s="12">
        <v>43959</v>
      </c>
      <c r="B188" t="s">
        <v>16</v>
      </c>
      <c r="C188">
        <v>61804.5</v>
      </c>
      <c r="D188">
        <v>5365708.5</v>
      </c>
    </row>
    <row r="189" spans="1:4" x14ac:dyDescent="0.3">
      <c r="A189" s="12">
        <v>43958</v>
      </c>
      <c r="B189" t="s">
        <v>16</v>
      </c>
      <c r="C189">
        <v>71067</v>
      </c>
      <c r="D189">
        <v>6175837.5</v>
      </c>
    </row>
    <row r="190" spans="1:4" x14ac:dyDescent="0.3">
      <c r="A190" s="12">
        <v>43975</v>
      </c>
      <c r="B190" t="s">
        <v>16</v>
      </c>
      <c r="C190">
        <v>74649</v>
      </c>
      <c r="D190">
        <v>6098236.5</v>
      </c>
    </row>
    <row r="191" spans="1:4" x14ac:dyDescent="0.3">
      <c r="A191" s="12">
        <v>43967</v>
      </c>
      <c r="B191" t="s">
        <v>17</v>
      </c>
      <c r="C191">
        <v>44560.5</v>
      </c>
      <c r="D191">
        <v>4025148</v>
      </c>
    </row>
    <row r="192" spans="1:4" x14ac:dyDescent="0.3">
      <c r="A192" s="12">
        <v>43970</v>
      </c>
      <c r="B192" t="s">
        <v>17</v>
      </c>
      <c r="C192">
        <v>38250</v>
      </c>
      <c r="D192">
        <v>3552937.5</v>
      </c>
    </row>
    <row r="193" spans="1:4" x14ac:dyDescent="0.3">
      <c r="A193" s="12">
        <v>43968</v>
      </c>
      <c r="B193" t="s">
        <v>17</v>
      </c>
      <c r="C193">
        <v>34830</v>
      </c>
      <c r="D193">
        <v>3191155.5</v>
      </c>
    </row>
    <row r="194" spans="1:4" x14ac:dyDescent="0.3">
      <c r="A194" s="12">
        <v>43960</v>
      </c>
      <c r="B194" t="s">
        <v>17</v>
      </c>
      <c r="C194">
        <v>32239.5</v>
      </c>
      <c r="D194">
        <v>3084892.5</v>
      </c>
    </row>
    <row r="195" spans="1:4" x14ac:dyDescent="0.3">
      <c r="A195" s="12">
        <v>43955</v>
      </c>
      <c r="B195" t="s">
        <v>17</v>
      </c>
      <c r="C195">
        <v>30780</v>
      </c>
      <c r="D195">
        <v>2817853.5</v>
      </c>
    </row>
    <row r="196" spans="1:4" x14ac:dyDescent="0.3">
      <c r="A196" s="12">
        <v>43950</v>
      </c>
      <c r="B196" t="s">
        <v>17</v>
      </c>
      <c r="C196">
        <v>29142</v>
      </c>
      <c r="D196">
        <v>2627595</v>
      </c>
    </row>
    <row r="197" spans="1:4" x14ac:dyDescent="0.3">
      <c r="A197" s="12">
        <v>43953</v>
      </c>
      <c r="B197" t="s">
        <v>17</v>
      </c>
      <c r="C197">
        <v>26428.5</v>
      </c>
      <c r="D197">
        <v>2470465.5</v>
      </c>
    </row>
    <row r="198" spans="1:4" x14ac:dyDescent="0.3">
      <c r="A198" s="12">
        <v>43977</v>
      </c>
      <c r="B198" t="s">
        <v>17</v>
      </c>
      <c r="C198">
        <v>40744.5</v>
      </c>
      <c r="D198">
        <v>3700311</v>
      </c>
    </row>
    <row r="199" spans="1:4" x14ac:dyDescent="0.3">
      <c r="A199" s="12">
        <v>43952</v>
      </c>
      <c r="B199" t="s">
        <v>17</v>
      </c>
      <c r="C199">
        <v>46620</v>
      </c>
      <c r="D199">
        <v>4293241.5</v>
      </c>
    </row>
    <row r="200" spans="1:4" x14ac:dyDescent="0.3">
      <c r="A200" s="12">
        <v>43963</v>
      </c>
      <c r="B200" t="s">
        <v>17</v>
      </c>
      <c r="C200">
        <v>32419.5</v>
      </c>
      <c r="D200">
        <v>3080614.5</v>
      </c>
    </row>
    <row r="201" spans="1:4" x14ac:dyDescent="0.3">
      <c r="A201" s="12">
        <v>43972</v>
      </c>
      <c r="B201" t="s">
        <v>17</v>
      </c>
      <c r="C201">
        <v>40819.5</v>
      </c>
      <c r="D201">
        <v>3810394.5</v>
      </c>
    </row>
    <row r="202" spans="1:4" x14ac:dyDescent="0.3">
      <c r="A202" s="12">
        <v>43971</v>
      </c>
      <c r="B202" t="s">
        <v>17</v>
      </c>
      <c r="C202">
        <v>41391</v>
      </c>
      <c r="D202">
        <v>3918987</v>
      </c>
    </row>
    <row r="203" spans="1:4" x14ac:dyDescent="0.3">
      <c r="A203" s="12">
        <v>43956</v>
      </c>
      <c r="B203" t="s">
        <v>17</v>
      </c>
      <c r="C203">
        <v>29482.5</v>
      </c>
      <c r="D203">
        <v>2648688</v>
      </c>
    </row>
    <row r="204" spans="1:4" x14ac:dyDescent="0.3">
      <c r="A204" s="12">
        <v>43949</v>
      </c>
      <c r="B204" t="s">
        <v>17</v>
      </c>
      <c r="C204">
        <v>32181</v>
      </c>
      <c r="D204">
        <v>2863600.5</v>
      </c>
    </row>
    <row r="205" spans="1:4" x14ac:dyDescent="0.3">
      <c r="A205" s="12">
        <v>43964</v>
      </c>
      <c r="B205" t="s">
        <v>17</v>
      </c>
      <c r="C205">
        <v>35535</v>
      </c>
      <c r="D205">
        <v>3288069</v>
      </c>
    </row>
    <row r="206" spans="1:4" x14ac:dyDescent="0.3">
      <c r="A206" s="12">
        <v>43982</v>
      </c>
      <c r="B206" t="s">
        <v>16</v>
      </c>
      <c r="C206">
        <v>76234.5</v>
      </c>
      <c r="D206">
        <v>6500848.5</v>
      </c>
    </row>
    <row r="207" spans="1:4" x14ac:dyDescent="0.3">
      <c r="A207" s="12">
        <v>43954</v>
      </c>
      <c r="B207" t="s">
        <v>17</v>
      </c>
      <c r="C207">
        <v>29935.5</v>
      </c>
      <c r="D207">
        <v>2720002.5</v>
      </c>
    </row>
    <row r="208" spans="1:4" x14ac:dyDescent="0.3">
      <c r="A208" s="12">
        <v>43981</v>
      </c>
      <c r="B208" t="s">
        <v>16</v>
      </c>
      <c r="C208">
        <v>106926</v>
      </c>
      <c r="D208">
        <v>9098386.5</v>
      </c>
    </row>
    <row r="209" spans="1:4" x14ac:dyDescent="0.3">
      <c r="A209" s="12">
        <v>43957</v>
      </c>
      <c r="B209" t="s">
        <v>17</v>
      </c>
      <c r="C209">
        <v>30342</v>
      </c>
      <c r="D209">
        <v>2738127</v>
      </c>
    </row>
    <row r="210" spans="1:4" x14ac:dyDescent="0.3">
      <c r="A210" s="12">
        <v>43974</v>
      </c>
      <c r="B210" t="s">
        <v>17</v>
      </c>
      <c r="C210">
        <v>42999</v>
      </c>
      <c r="D210">
        <v>3883215</v>
      </c>
    </row>
    <row r="211" spans="1:4" x14ac:dyDescent="0.3">
      <c r="A211" s="12">
        <v>43979</v>
      </c>
      <c r="B211" t="s">
        <v>16</v>
      </c>
      <c r="C211">
        <v>69945</v>
      </c>
      <c r="D211">
        <v>6101931</v>
      </c>
    </row>
    <row r="212" spans="1:4" x14ac:dyDescent="0.3">
      <c r="A212" s="12">
        <v>43976</v>
      </c>
      <c r="B212" t="s">
        <v>17</v>
      </c>
      <c r="C212">
        <v>38740.5</v>
      </c>
      <c r="D212">
        <v>3561655.5</v>
      </c>
    </row>
    <row r="213" spans="1:4" x14ac:dyDescent="0.3">
      <c r="A213" s="12">
        <v>43951</v>
      </c>
      <c r="B213" t="s">
        <v>17</v>
      </c>
      <c r="C213">
        <v>31231.5</v>
      </c>
      <c r="D213">
        <v>2853310.5</v>
      </c>
    </row>
    <row r="214" spans="1:4" x14ac:dyDescent="0.3">
      <c r="A214" s="12">
        <v>43961</v>
      </c>
      <c r="B214" t="s">
        <v>17</v>
      </c>
      <c r="C214">
        <v>37489.5</v>
      </c>
      <c r="D214">
        <v>3549097.5</v>
      </c>
    </row>
    <row r="215" spans="1:4" x14ac:dyDescent="0.3">
      <c r="A215" s="12">
        <v>43959</v>
      </c>
      <c r="B215" t="s">
        <v>17</v>
      </c>
      <c r="C215">
        <v>34399.5</v>
      </c>
      <c r="D215">
        <v>3201358.5</v>
      </c>
    </row>
    <row r="216" spans="1:4" x14ac:dyDescent="0.3">
      <c r="A216" s="12">
        <v>43958</v>
      </c>
      <c r="B216" t="s">
        <v>17</v>
      </c>
      <c r="C216">
        <v>32851.5</v>
      </c>
      <c r="D216">
        <v>2934504</v>
      </c>
    </row>
    <row r="217" spans="1:4" x14ac:dyDescent="0.3">
      <c r="A217" s="12">
        <v>43975</v>
      </c>
      <c r="B217" t="s">
        <v>17</v>
      </c>
      <c r="C217">
        <v>38194.5</v>
      </c>
      <c r="D217">
        <v>3449302.5</v>
      </c>
    </row>
    <row r="218" spans="1:4" x14ac:dyDescent="0.3">
      <c r="A218" s="12">
        <v>43982</v>
      </c>
      <c r="B218" t="s">
        <v>17</v>
      </c>
      <c r="C218">
        <v>42423</v>
      </c>
      <c r="D218">
        <v>3994153.5</v>
      </c>
    </row>
    <row r="219" spans="1:4" x14ac:dyDescent="0.3">
      <c r="A219" s="12">
        <v>43981</v>
      </c>
      <c r="B219" t="s">
        <v>17</v>
      </c>
      <c r="C219">
        <v>48286.5</v>
      </c>
      <c r="D219">
        <v>4456441.5</v>
      </c>
    </row>
    <row r="220" spans="1:4" x14ac:dyDescent="0.3">
      <c r="A220" s="12">
        <v>43979</v>
      </c>
      <c r="B220" t="s">
        <v>17</v>
      </c>
      <c r="C220">
        <v>41442</v>
      </c>
      <c r="D220">
        <v>3893680.5</v>
      </c>
    </row>
    <row r="221" spans="1:4" x14ac:dyDescent="0.3">
      <c r="A221" s="12">
        <v>43967</v>
      </c>
      <c r="B221" t="s">
        <v>18</v>
      </c>
      <c r="C221">
        <v>18600</v>
      </c>
      <c r="D221">
        <v>1601425.5</v>
      </c>
    </row>
    <row r="222" spans="1:4" x14ac:dyDescent="0.3">
      <c r="A222" s="12">
        <v>43970</v>
      </c>
      <c r="B222" t="s">
        <v>18</v>
      </c>
      <c r="C222">
        <v>16638</v>
      </c>
      <c r="D222">
        <v>1364847</v>
      </c>
    </row>
    <row r="223" spans="1:4" x14ac:dyDescent="0.3">
      <c r="A223" s="12">
        <v>43968</v>
      </c>
      <c r="B223" t="s">
        <v>18</v>
      </c>
      <c r="C223">
        <v>15609</v>
      </c>
      <c r="D223">
        <v>1377577.5</v>
      </c>
    </row>
    <row r="224" spans="1:4" x14ac:dyDescent="0.3">
      <c r="A224" s="12">
        <v>43960</v>
      </c>
      <c r="B224" t="s">
        <v>18</v>
      </c>
      <c r="C224">
        <v>13948.5</v>
      </c>
      <c r="D224">
        <v>1222932</v>
      </c>
    </row>
    <row r="225" spans="1:4" x14ac:dyDescent="0.3">
      <c r="A225" s="12">
        <v>43955</v>
      </c>
      <c r="B225" t="s">
        <v>18</v>
      </c>
      <c r="C225">
        <v>12301.5</v>
      </c>
      <c r="D225">
        <v>1085211</v>
      </c>
    </row>
    <row r="226" spans="1:4" x14ac:dyDescent="0.3">
      <c r="A226" s="12">
        <v>43950</v>
      </c>
      <c r="B226" t="s">
        <v>18</v>
      </c>
      <c r="C226">
        <v>13014</v>
      </c>
      <c r="D226">
        <v>1115992.5</v>
      </c>
    </row>
    <row r="227" spans="1:4" x14ac:dyDescent="0.3">
      <c r="A227" s="12">
        <v>43953</v>
      </c>
      <c r="B227" t="s">
        <v>18</v>
      </c>
      <c r="C227">
        <v>12313.5</v>
      </c>
      <c r="D227">
        <v>1053220.5</v>
      </c>
    </row>
    <row r="228" spans="1:4" x14ac:dyDescent="0.3">
      <c r="A228" s="12">
        <v>43977</v>
      </c>
      <c r="B228" t="s">
        <v>18</v>
      </c>
      <c r="C228">
        <v>17391</v>
      </c>
      <c r="D228">
        <v>1489132.5</v>
      </c>
    </row>
    <row r="229" spans="1:4" x14ac:dyDescent="0.3">
      <c r="A229" s="12">
        <v>43952</v>
      </c>
      <c r="B229" t="s">
        <v>18</v>
      </c>
      <c r="C229">
        <v>17113.5</v>
      </c>
      <c r="D229">
        <v>1465842</v>
      </c>
    </row>
    <row r="230" spans="1:4" x14ac:dyDescent="0.3">
      <c r="A230" s="12">
        <v>43963</v>
      </c>
      <c r="B230" t="s">
        <v>18</v>
      </c>
      <c r="C230">
        <v>12802.5</v>
      </c>
      <c r="D230">
        <v>1123830</v>
      </c>
    </row>
    <row r="231" spans="1:4" x14ac:dyDescent="0.3">
      <c r="A231" s="12">
        <v>43972</v>
      </c>
      <c r="B231" t="s">
        <v>18</v>
      </c>
      <c r="C231">
        <v>16554</v>
      </c>
      <c r="D231">
        <v>1380751.5</v>
      </c>
    </row>
    <row r="232" spans="1:4" x14ac:dyDescent="0.3">
      <c r="A232" s="12">
        <v>43971</v>
      </c>
      <c r="B232" t="s">
        <v>18</v>
      </c>
      <c r="C232">
        <v>17329.5</v>
      </c>
      <c r="D232">
        <v>1430254.5</v>
      </c>
    </row>
    <row r="233" spans="1:4" x14ac:dyDescent="0.3">
      <c r="A233" s="12">
        <v>43956</v>
      </c>
      <c r="B233" t="s">
        <v>18</v>
      </c>
      <c r="C233">
        <v>15987</v>
      </c>
      <c r="D233">
        <v>1384179</v>
      </c>
    </row>
    <row r="234" spans="1:4" x14ac:dyDescent="0.3">
      <c r="A234" s="12">
        <v>43949</v>
      </c>
      <c r="B234" t="s">
        <v>18</v>
      </c>
      <c r="C234">
        <v>13303.5</v>
      </c>
      <c r="D234">
        <v>1102887</v>
      </c>
    </row>
    <row r="235" spans="1:4" x14ac:dyDescent="0.3">
      <c r="A235" s="12">
        <v>43964</v>
      </c>
      <c r="B235" t="s">
        <v>18</v>
      </c>
      <c r="C235">
        <v>14305.5</v>
      </c>
      <c r="D235">
        <v>1243507.5</v>
      </c>
    </row>
    <row r="236" spans="1:4" x14ac:dyDescent="0.3">
      <c r="A236" s="12">
        <v>43954</v>
      </c>
      <c r="B236" t="s">
        <v>18</v>
      </c>
      <c r="C236">
        <v>12924</v>
      </c>
      <c r="D236">
        <v>1120009.5</v>
      </c>
    </row>
    <row r="237" spans="1:4" x14ac:dyDescent="0.3">
      <c r="A237" s="12">
        <v>43957</v>
      </c>
      <c r="B237" t="s">
        <v>18</v>
      </c>
      <c r="C237">
        <v>14061</v>
      </c>
      <c r="D237">
        <v>1221057</v>
      </c>
    </row>
    <row r="238" spans="1:4" x14ac:dyDescent="0.3">
      <c r="A238" s="12">
        <v>43974</v>
      </c>
      <c r="B238" t="s">
        <v>18</v>
      </c>
      <c r="C238">
        <v>21958.5</v>
      </c>
      <c r="D238">
        <v>1854001.5</v>
      </c>
    </row>
    <row r="239" spans="1:4" x14ac:dyDescent="0.3">
      <c r="A239" s="12">
        <v>43976</v>
      </c>
      <c r="B239" t="s">
        <v>18</v>
      </c>
      <c r="C239">
        <v>17211</v>
      </c>
      <c r="D239">
        <v>1507867.5</v>
      </c>
    </row>
    <row r="240" spans="1:4" x14ac:dyDescent="0.3">
      <c r="A240" s="12">
        <v>43951</v>
      </c>
      <c r="B240" t="s">
        <v>18</v>
      </c>
      <c r="C240">
        <v>12753</v>
      </c>
      <c r="D240">
        <v>1103068.5</v>
      </c>
    </row>
    <row r="241" spans="1:4" x14ac:dyDescent="0.3">
      <c r="A241" s="12">
        <v>43961</v>
      </c>
      <c r="B241" t="s">
        <v>18</v>
      </c>
      <c r="C241">
        <v>16435.5</v>
      </c>
      <c r="D241">
        <v>1471537.5</v>
      </c>
    </row>
    <row r="242" spans="1:4" x14ac:dyDescent="0.3">
      <c r="A242" s="12">
        <v>43959</v>
      </c>
      <c r="B242" t="s">
        <v>18</v>
      </c>
      <c r="C242">
        <v>14494.5</v>
      </c>
      <c r="D242">
        <v>1269786</v>
      </c>
    </row>
    <row r="243" spans="1:4" x14ac:dyDescent="0.3">
      <c r="A243" s="12">
        <v>43958</v>
      </c>
      <c r="B243" t="s">
        <v>18</v>
      </c>
      <c r="C243">
        <v>12705</v>
      </c>
      <c r="D243">
        <v>1123894.5</v>
      </c>
    </row>
    <row r="244" spans="1:4" x14ac:dyDescent="0.3">
      <c r="A244" s="12">
        <v>43975</v>
      </c>
      <c r="B244" t="s">
        <v>18</v>
      </c>
      <c r="C244">
        <v>18075</v>
      </c>
      <c r="D244">
        <v>1548099</v>
      </c>
    </row>
    <row r="245" spans="1:4" x14ac:dyDescent="0.3">
      <c r="A245" s="12">
        <v>43967</v>
      </c>
      <c r="B245" t="s">
        <v>19</v>
      </c>
      <c r="C245">
        <v>13120.5</v>
      </c>
      <c r="D245">
        <v>1215033</v>
      </c>
    </row>
    <row r="246" spans="1:4" x14ac:dyDescent="0.3">
      <c r="A246" s="12">
        <v>43970</v>
      </c>
      <c r="B246" t="s">
        <v>19</v>
      </c>
      <c r="C246">
        <v>16237.5</v>
      </c>
      <c r="D246">
        <v>1403047.5</v>
      </c>
    </row>
    <row r="247" spans="1:4" x14ac:dyDescent="0.3">
      <c r="A247" s="12">
        <v>43968</v>
      </c>
      <c r="B247" t="s">
        <v>19</v>
      </c>
      <c r="C247">
        <v>11967</v>
      </c>
      <c r="D247">
        <v>1060489.5</v>
      </c>
    </row>
    <row r="248" spans="1:4" x14ac:dyDescent="0.3">
      <c r="A248" s="12">
        <v>43960</v>
      </c>
      <c r="B248" t="s">
        <v>19</v>
      </c>
      <c r="C248">
        <v>12037.5</v>
      </c>
      <c r="D248">
        <v>1081216.5</v>
      </c>
    </row>
    <row r="249" spans="1:4" x14ac:dyDescent="0.3">
      <c r="A249" s="12">
        <v>43955</v>
      </c>
      <c r="B249" t="s">
        <v>19</v>
      </c>
      <c r="C249">
        <v>7087.5</v>
      </c>
      <c r="D249">
        <v>610855.5</v>
      </c>
    </row>
    <row r="250" spans="1:4" x14ac:dyDescent="0.3">
      <c r="A250" s="12">
        <v>43950</v>
      </c>
      <c r="B250" t="s">
        <v>20</v>
      </c>
      <c r="C250">
        <v>25816.5</v>
      </c>
      <c r="D250">
        <v>2360914.5</v>
      </c>
    </row>
    <row r="251" spans="1:4" x14ac:dyDescent="0.3">
      <c r="A251" s="12">
        <v>43953</v>
      </c>
      <c r="B251" t="s">
        <v>19</v>
      </c>
      <c r="C251">
        <v>4624.5</v>
      </c>
      <c r="D251">
        <v>433243.5</v>
      </c>
    </row>
    <row r="252" spans="1:4" x14ac:dyDescent="0.3">
      <c r="A252" s="12">
        <v>43977</v>
      </c>
      <c r="B252" t="s">
        <v>19</v>
      </c>
      <c r="C252">
        <v>12259.5</v>
      </c>
      <c r="D252">
        <v>1152054</v>
      </c>
    </row>
    <row r="253" spans="1:4" x14ac:dyDescent="0.3">
      <c r="A253" s="12">
        <v>43952</v>
      </c>
      <c r="B253" t="s">
        <v>19</v>
      </c>
      <c r="C253">
        <v>5446.5</v>
      </c>
      <c r="D253">
        <v>505572</v>
      </c>
    </row>
    <row r="254" spans="1:4" x14ac:dyDescent="0.3">
      <c r="A254" s="12">
        <v>43963</v>
      </c>
      <c r="B254" t="s">
        <v>19</v>
      </c>
      <c r="C254">
        <v>11296.5</v>
      </c>
      <c r="D254">
        <v>989632.5</v>
      </c>
    </row>
    <row r="255" spans="1:4" x14ac:dyDescent="0.3">
      <c r="A255" s="12">
        <v>43972</v>
      </c>
      <c r="B255" t="s">
        <v>19</v>
      </c>
      <c r="C255">
        <v>12135</v>
      </c>
      <c r="D255">
        <v>1103623.5</v>
      </c>
    </row>
    <row r="256" spans="1:4" x14ac:dyDescent="0.3">
      <c r="A256" s="12">
        <v>43971</v>
      </c>
      <c r="B256" t="s">
        <v>19</v>
      </c>
      <c r="C256">
        <v>12630</v>
      </c>
      <c r="D256">
        <v>1104858</v>
      </c>
    </row>
    <row r="257" spans="1:4" x14ac:dyDescent="0.3">
      <c r="A257" s="12">
        <v>43956</v>
      </c>
      <c r="B257" t="s">
        <v>19</v>
      </c>
      <c r="C257">
        <v>8223</v>
      </c>
      <c r="D257">
        <v>694593</v>
      </c>
    </row>
    <row r="258" spans="1:4" x14ac:dyDescent="0.3">
      <c r="A258" s="12">
        <v>43949</v>
      </c>
      <c r="B258" t="s">
        <v>20</v>
      </c>
      <c r="C258">
        <v>25149</v>
      </c>
      <c r="D258">
        <v>2277072</v>
      </c>
    </row>
    <row r="259" spans="1:4" x14ac:dyDescent="0.3">
      <c r="A259" s="12">
        <v>43964</v>
      </c>
      <c r="B259" t="s">
        <v>19</v>
      </c>
      <c r="C259">
        <v>10401</v>
      </c>
      <c r="D259">
        <v>949912.5</v>
      </c>
    </row>
    <row r="260" spans="1:4" x14ac:dyDescent="0.3">
      <c r="A260" s="12">
        <v>43982</v>
      </c>
      <c r="B260" t="s">
        <v>18</v>
      </c>
      <c r="C260">
        <v>17689.5</v>
      </c>
      <c r="D260">
        <v>1592119.5</v>
      </c>
    </row>
    <row r="261" spans="1:4" x14ac:dyDescent="0.3">
      <c r="A261" s="12">
        <v>43954</v>
      </c>
      <c r="B261" t="s">
        <v>19</v>
      </c>
      <c r="C261">
        <v>8127</v>
      </c>
      <c r="D261">
        <v>665302.5</v>
      </c>
    </row>
    <row r="262" spans="1:4" x14ac:dyDescent="0.3">
      <c r="A262" s="12">
        <v>43981</v>
      </c>
      <c r="B262" t="s">
        <v>18</v>
      </c>
      <c r="C262">
        <v>27250.5</v>
      </c>
      <c r="D262">
        <v>2457252</v>
      </c>
    </row>
    <row r="263" spans="1:4" x14ac:dyDescent="0.3">
      <c r="A263" s="12">
        <v>43957</v>
      </c>
      <c r="B263" t="s">
        <v>19</v>
      </c>
      <c r="C263">
        <v>8464.5</v>
      </c>
      <c r="D263">
        <v>739291.5</v>
      </c>
    </row>
    <row r="264" spans="1:4" x14ac:dyDescent="0.3">
      <c r="A264" s="12">
        <v>43974</v>
      </c>
      <c r="B264" t="s">
        <v>19</v>
      </c>
      <c r="C264">
        <v>14167.5</v>
      </c>
      <c r="D264">
        <v>1315075.5</v>
      </c>
    </row>
    <row r="265" spans="1:4" x14ac:dyDescent="0.3">
      <c r="A265" s="12">
        <v>43979</v>
      </c>
      <c r="B265" t="s">
        <v>18</v>
      </c>
      <c r="C265">
        <v>16500</v>
      </c>
      <c r="D265">
        <v>1487928</v>
      </c>
    </row>
    <row r="266" spans="1:4" x14ac:dyDescent="0.3">
      <c r="A266" s="12">
        <v>43976</v>
      </c>
      <c r="B266" t="s">
        <v>19</v>
      </c>
      <c r="C266">
        <v>13260</v>
      </c>
      <c r="D266">
        <v>1230687</v>
      </c>
    </row>
    <row r="267" spans="1:4" x14ac:dyDescent="0.3">
      <c r="A267" s="12">
        <v>43951</v>
      </c>
      <c r="B267" t="s">
        <v>19</v>
      </c>
      <c r="C267">
        <v>4285.5</v>
      </c>
      <c r="D267">
        <v>404691</v>
      </c>
    </row>
    <row r="268" spans="1:4" x14ac:dyDescent="0.3">
      <c r="A268" s="12">
        <v>43961</v>
      </c>
      <c r="B268" t="s">
        <v>19</v>
      </c>
      <c r="C268">
        <v>13440</v>
      </c>
      <c r="D268">
        <v>1198285.5</v>
      </c>
    </row>
    <row r="269" spans="1:4" x14ac:dyDescent="0.3">
      <c r="A269" s="12">
        <v>43959</v>
      </c>
      <c r="B269" t="s">
        <v>19</v>
      </c>
      <c r="C269">
        <v>9058.5</v>
      </c>
      <c r="D269">
        <v>798759</v>
      </c>
    </row>
    <row r="270" spans="1:4" x14ac:dyDescent="0.3">
      <c r="A270" s="12">
        <v>43958</v>
      </c>
      <c r="B270" t="s">
        <v>19</v>
      </c>
      <c r="C270">
        <v>8719.5</v>
      </c>
      <c r="D270">
        <v>769276.5</v>
      </c>
    </row>
    <row r="271" spans="1:4" x14ac:dyDescent="0.3">
      <c r="A271" s="12">
        <v>43975</v>
      </c>
      <c r="B271" t="s">
        <v>19</v>
      </c>
      <c r="C271">
        <v>12666</v>
      </c>
      <c r="D271">
        <v>1184865</v>
      </c>
    </row>
    <row r="272" spans="1:4" x14ac:dyDescent="0.3">
      <c r="A272" s="12">
        <v>43967</v>
      </c>
      <c r="B272" t="s">
        <v>20</v>
      </c>
      <c r="C272">
        <v>34563</v>
      </c>
      <c r="D272">
        <v>2922883.5</v>
      </c>
    </row>
    <row r="273" spans="1:4" x14ac:dyDescent="0.3">
      <c r="A273" s="12">
        <v>43970</v>
      </c>
      <c r="B273" t="s">
        <v>20</v>
      </c>
      <c r="C273">
        <v>28882.5</v>
      </c>
      <c r="D273">
        <v>2446530</v>
      </c>
    </row>
    <row r="274" spans="1:4" x14ac:dyDescent="0.3">
      <c r="A274" s="12">
        <v>43968</v>
      </c>
      <c r="B274" t="s">
        <v>20</v>
      </c>
      <c r="C274">
        <v>28275</v>
      </c>
      <c r="D274">
        <v>2435632.5</v>
      </c>
    </row>
    <row r="275" spans="1:4" x14ac:dyDescent="0.3">
      <c r="A275" s="12">
        <v>43960</v>
      </c>
      <c r="B275" t="s">
        <v>20</v>
      </c>
      <c r="C275">
        <v>26271</v>
      </c>
      <c r="D275">
        <v>2384937</v>
      </c>
    </row>
    <row r="276" spans="1:4" x14ac:dyDescent="0.3">
      <c r="A276" s="12">
        <v>43955</v>
      </c>
      <c r="B276" t="s">
        <v>20</v>
      </c>
      <c r="C276">
        <v>23587.5</v>
      </c>
      <c r="D276">
        <v>2155668</v>
      </c>
    </row>
    <row r="277" spans="1:4" x14ac:dyDescent="0.3">
      <c r="A277" s="12">
        <v>43953</v>
      </c>
      <c r="B277" t="s">
        <v>20</v>
      </c>
      <c r="C277">
        <v>18427.5</v>
      </c>
      <c r="D277">
        <v>1682851.5</v>
      </c>
    </row>
    <row r="278" spans="1:4" x14ac:dyDescent="0.3">
      <c r="A278" s="12">
        <v>43977</v>
      </c>
      <c r="B278" t="s">
        <v>20</v>
      </c>
      <c r="C278">
        <v>27156</v>
      </c>
      <c r="D278">
        <v>2410803</v>
      </c>
    </row>
    <row r="279" spans="1:4" x14ac:dyDescent="0.3">
      <c r="A279" s="12">
        <v>43952</v>
      </c>
      <c r="B279" t="s">
        <v>20</v>
      </c>
      <c r="C279">
        <v>35190</v>
      </c>
      <c r="D279">
        <v>3168510</v>
      </c>
    </row>
    <row r="280" spans="1:4" x14ac:dyDescent="0.3">
      <c r="A280" s="12">
        <v>43963</v>
      </c>
      <c r="B280" t="s">
        <v>20</v>
      </c>
      <c r="C280">
        <v>25483.5</v>
      </c>
      <c r="D280">
        <v>2243160</v>
      </c>
    </row>
    <row r="281" spans="1:4" x14ac:dyDescent="0.3">
      <c r="A281" s="12">
        <v>43972</v>
      </c>
      <c r="B281" t="s">
        <v>20</v>
      </c>
      <c r="C281">
        <v>25362</v>
      </c>
      <c r="D281">
        <v>2198935.5</v>
      </c>
    </row>
    <row r="282" spans="1:4" x14ac:dyDescent="0.3">
      <c r="A282" s="12">
        <v>43971</v>
      </c>
      <c r="B282" t="s">
        <v>20</v>
      </c>
      <c r="C282">
        <v>28849.5</v>
      </c>
      <c r="D282">
        <v>2520759</v>
      </c>
    </row>
    <row r="283" spans="1:4" x14ac:dyDescent="0.3">
      <c r="A283" s="12">
        <v>43956</v>
      </c>
      <c r="B283" t="s">
        <v>20</v>
      </c>
      <c r="C283">
        <v>26367</v>
      </c>
      <c r="D283">
        <v>2380333.5</v>
      </c>
    </row>
    <row r="284" spans="1:4" x14ac:dyDescent="0.3">
      <c r="A284" s="12">
        <v>43964</v>
      </c>
      <c r="B284" t="s">
        <v>20</v>
      </c>
      <c r="C284">
        <v>25539</v>
      </c>
      <c r="D284">
        <v>2263651.5</v>
      </c>
    </row>
    <row r="285" spans="1:4" x14ac:dyDescent="0.3">
      <c r="A285" s="12">
        <v>43982</v>
      </c>
      <c r="B285" t="s">
        <v>19</v>
      </c>
      <c r="C285">
        <v>14808</v>
      </c>
      <c r="D285">
        <v>1336789.5</v>
      </c>
    </row>
    <row r="286" spans="1:4" x14ac:dyDescent="0.3">
      <c r="A286" s="12">
        <v>43954</v>
      </c>
      <c r="B286" t="s">
        <v>20</v>
      </c>
      <c r="C286">
        <v>21343.5</v>
      </c>
      <c r="D286">
        <v>1906557</v>
      </c>
    </row>
    <row r="287" spans="1:4" x14ac:dyDescent="0.3">
      <c r="A287" s="12">
        <v>43981</v>
      </c>
      <c r="B287" t="s">
        <v>19</v>
      </c>
      <c r="C287">
        <v>17946</v>
      </c>
      <c r="D287">
        <v>1609090.5</v>
      </c>
    </row>
    <row r="288" spans="1:4" x14ac:dyDescent="0.3">
      <c r="A288" s="12">
        <v>43957</v>
      </c>
      <c r="B288" t="s">
        <v>20</v>
      </c>
      <c r="C288">
        <v>24337.5</v>
      </c>
      <c r="D288">
        <v>2159350.5</v>
      </c>
    </row>
    <row r="289" spans="1:4" x14ac:dyDescent="0.3">
      <c r="A289" s="12">
        <v>43974</v>
      </c>
      <c r="B289" t="s">
        <v>20</v>
      </c>
      <c r="C289">
        <v>36997.5</v>
      </c>
      <c r="D289">
        <v>3089140.5</v>
      </c>
    </row>
    <row r="290" spans="1:4" x14ac:dyDescent="0.3">
      <c r="A290" s="12">
        <v>43979</v>
      </c>
      <c r="B290" t="s">
        <v>19</v>
      </c>
      <c r="C290">
        <v>13864.5</v>
      </c>
      <c r="D290">
        <v>1239747</v>
      </c>
    </row>
    <row r="291" spans="1:4" x14ac:dyDescent="0.3">
      <c r="A291" s="12">
        <v>43976</v>
      </c>
      <c r="B291" t="s">
        <v>20</v>
      </c>
      <c r="C291">
        <v>28494</v>
      </c>
      <c r="D291">
        <v>2512803</v>
      </c>
    </row>
    <row r="292" spans="1:4" x14ac:dyDescent="0.3">
      <c r="A292" s="12">
        <v>43951</v>
      </c>
      <c r="B292" t="s">
        <v>20</v>
      </c>
      <c r="C292">
        <v>27883.5</v>
      </c>
      <c r="D292">
        <v>2560080</v>
      </c>
    </row>
    <row r="293" spans="1:4" x14ac:dyDescent="0.3">
      <c r="A293" s="12">
        <v>43961</v>
      </c>
      <c r="B293" t="s">
        <v>20</v>
      </c>
      <c r="C293">
        <v>31224</v>
      </c>
      <c r="D293">
        <v>2767270.5</v>
      </c>
    </row>
    <row r="294" spans="1:4" x14ac:dyDescent="0.3">
      <c r="A294" s="12">
        <v>43959</v>
      </c>
      <c r="B294" t="s">
        <v>20</v>
      </c>
      <c r="C294">
        <v>25020</v>
      </c>
      <c r="D294">
        <v>2235960</v>
      </c>
    </row>
    <row r="295" spans="1:4" x14ac:dyDescent="0.3">
      <c r="A295" s="12">
        <v>43958</v>
      </c>
      <c r="B295" t="s">
        <v>20</v>
      </c>
      <c r="C295">
        <v>26184</v>
      </c>
      <c r="D295">
        <v>2308336.5</v>
      </c>
    </row>
    <row r="296" spans="1:4" x14ac:dyDescent="0.3">
      <c r="A296" s="12">
        <v>43975</v>
      </c>
      <c r="B296" t="s">
        <v>20</v>
      </c>
      <c r="C296">
        <v>29824.5</v>
      </c>
      <c r="D296">
        <v>2526909</v>
      </c>
    </row>
    <row r="297" spans="1:4" x14ac:dyDescent="0.3">
      <c r="A297" s="12">
        <v>43950</v>
      </c>
      <c r="B297" t="s">
        <v>21</v>
      </c>
      <c r="C297">
        <v>208351.5</v>
      </c>
      <c r="D297">
        <v>21615333</v>
      </c>
    </row>
    <row r="298" spans="1:4" x14ac:dyDescent="0.3">
      <c r="A298" s="12">
        <v>43949</v>
      </c>
      <c r="B298" t="s">
        <v>21</v>
      </c>
      <c r="C298">
        <v>204637.5</v>
      </c>
      <c r="D298">
        <v>21114898.5</v>
      </c>
    </row>
    <row r="299" spans="1:4" x14ac:dyDescent="0.3">
      <c r="A299" s="12">
        <v>43982</v>
      </c>
      <c r="B299" t="s">
        <v>20</v>
      </c>
      <c r="C299">
        <v>31372.5</v>
      </c>
      <c r="D299">
        <v>2794324.5</v>
      </c>
    </row>
    <row r="300" spans="1:4" x14ac:dyDescent="0.3">
      <c r="A300" s="12">
        <v>43981</v>
      </c>
      <c r="B300" t="s">
        <v>20</v>
      </c>
      <c r="C300">
        <v>34681.5</v>
      </c>
      <c r="D300">
        <v>3005334</v>
      </c>
    </row>
    <row r="301" spans="1:4" x14ac:dyDescent="0.3">
      <c r="A301" s="12">
        <v>43979</v>
      </c>
      <c r="B301" t="s">
        <v>20</v>
      </c>
      <c r="C301">
        <v>28197</v>
      </c>
      <c r="D301">
        <v>2559211.5</v>
      </c>
    </row>
    <row r="302" spans="1:4" x14ac:dyDescent="0.3">
      <c r="A302" s="12">
        <v>43967</v>
      </c>
      <c r="B302" t="s">
        <v>21</v>
      </c>
      <c r="C302">
        <v>236551.5</v>
      </c>
      <c r="D302">
        <v>23689383</v>
      </c>
    </row>
    <row r="303" spans="1:4" x14ac:dyDescent="0.3">
      <c r="A303" s="12">
        <v>43970</v>
      </c>
      <c r="B303" t="s">
        <v>21</v>
      </c>
      <c r="C303">
        <v>223597.5</v>
      </c>
      <c r="D303">
        <v>21945858</v>
      </c>
    </row>
    <row r="304" spans="1:4" x14ac:dyDescent="0.3">
      <c r="A304" s="12">
        <v>43968</v>
      </c>
      <c r="B304" t="s">
        <v>21</v>
      </c>
      <c r="C304">
        <v>193363.5</v>
      </c>
      <c r="D304">
        <v>19546386</v>
      </c>
    </row>
    <row r="305" spans="1:4" x14ac:dyDescent="0.3">
      <c r="A305" s="12">
        <v>43960</v>
      </c>
      <c r="B305" t="s">
        <v>21</v>
      </c>
      <c r="C305">
        <v>188319</v>
      </c>
      <c r="D305">
        <v>19218631.5</v>
      </c>
    </row>
    <row r="306" spans="1:4" x14ac:dyDescent="0.3">
      <c r="A306" s="12">
        <v>43955</v>
      </c>
      <c r="B306" t="s">
        <v>21</v>
      </c>
      <c r="C306">
        <v>237544.5</v>
      </c>
      <c r="D306">
        <v>24292218</v>
      </c>
    </row>
    <row r="307" spans="1:4" x14ac:dyDescent="0.3">
      <c r="A307" s="12">
        <v>43950</v>
      </c>
      <c r="B307" t="s">
        <v>22</v>
      </c>
      <c r="C307">
        <v>203209.5</v>
      </c>
      <c r="D307">
        <v>20871391.5</v>
      </c>
    </row>
    <row r="308" spans="1:4" x14ac:dyDescent="0.3">
      <c r="A308" s="12">
        <v>43953</v>
      </c>
      <c r="B308" t="s">
        <v>21</v>
      </c>
      <c r="C308">
        <v>185979</v>
      </c>
      <c r="D308">
        <v>19625364</v>
      </c>
    </row>
    <row r="309" spans="1:4" x14ac:dyDescent="0.3">
      <c r="A309" s="12">
        <v>43977</v>
      </c>
      <c r="B309" t="s">
        <v>21</v>
      </c>
      <c r="C309">
        <v>244905</v>
      </c>
      <c r="D309">
        <v>25163431.5</v>
      </c>
    </row>
    <row r="310" spans="1:4" x14ac:dyDescent="0.3">
      <c r="A310" s="12">
        <v>43952</v>
      </c>
      <c r="B310" t="s">
        <v>21</v>
      </c>
      <c r="C310">
        <v>239409</v>
      </c>
      <c r="D310">
        <v>25413351</v>
      </c>
    </row>
    <row r="311" spans="1:4" x14ac:dyDescent="0.3">
      <c r="A311" s="12">
        <v>43963</v>
      </c>
      <c r="B311" t="s">
        <v>21</v>
      </c>
      <c r="C311">
        <v>192886.5</v>
      </c>
      <c r="D311">
        <v>19205179.5</v>
      </c>
    </row>
    <row r="312" spans="1:4" x14ac:dyDescent="0.3">
      <c r="A312" s="12">
        <v>43972</v>
      </c>
      <c r="B312" t="s">
        <v>21</v>
      </c>
      <c r="C312">
        <v>224233.5</v>
      </c>
      <c r="D312">
        <v>22253295</v>
      </c>
    </row>
    <row r="313" spans="1:4" x14ac:dyDescent="0.3">
      <c r="A313" s="12">
        <v>43971</v>
      </c>
      <c r="B313" t="s">
        <v>21</v>
      </c>
      <c r="C313">
        <v>219622.5</v>
      </c>
      <c r="D313">
        <v>21959286</v>
      </c>
    </row>
    <row r="314" spans="1:4" x14ac:dyDescent="0.3">
      <c r="A314" s="12">
        <v>43956</v>
      </c>
      <c r="B314" t="s">
        <v>21</v>
      </c>
      <c r="C314">
        <v>213582</v>
      </c>
      <c r="D314">
        <v>21919435.5</v>
      </c>
    </row>
    <row r="315" spans="1:4" x14ac:dyDescent="0.3">
      <c r="A315" s="12">
        <v>43949</v>
      </c>
      <c r="B315" t="s">
        <v>22</v>
      </c>
      <c r="C315">
        <v>195705</v>
      </c>
      <c r="D315">
        <v>20003263.5</v>
      </c>
    </row>
    <row r="316" spans="1:4" x14ac:dyDescent="0.3">
      <c r="A316" s="12">
        <v>43964</v>
      </c>
      <c r="B316" t="s">
        <v>21</v>
      </c>
      <c r="C316">
        <v>193722</v>
      </c>
      <c r="D316">
        <v>19437273</v>
      </c>
    </row>
    <row r="317" spans="1:4" x14ac:dyDescent="0.3">
      <c r="A317" s="12">
        <v>43954</v>
      </c>
      <c r="B317" t="s">
        <v>21</v>
      </c>
      <c r="C317">
        <v>257215.5</v>
      </c>
      <c r="D317">
        <v>26492278.5</v>
      </c>
    </row>
    <row r="318" spans="1:4" x14ac:dyDescent="0.3">
      <c r="A318" s="12">
        <v>43957</v>
      </c>
      <c r="B318" t="s">
        <v>21</v>
      </c>
      <c r="C318">
        <v>224779.5</v>
      </c>
      <c r="D318">
        <v>23032992</v>
      </c>
    </row>
    <row r="319" spans="1:4" x14ac:dyDescent="0.3">
      <c r="A319" s="12">
        <v>43974</v>
      </c>
      <c r="B319" t="s">
        <v>21</v>
      </c>
      <c r="C319">
        <v>292018.5</v>
      </c>
      <c r="D319">
        <v>28590910.5</v>
      </c>
    </row>
    <row r="320" spans="1:4" x14ac:dyDescent="0.3">
      <c r="A320" s="12">
        <v>43976</v>
      </c>
      <c r="B320" t="s">
        <v>21</v>
      </c>
      <c r="C320">
        <v>198751.5</v>
      </c>
      <c r="D320">
        <v>20582743.5</v>
      </c>
    </row>
    <row r="321" spans="1:4" x14ac:dyDescent="0.3">
      <c r="A321" s="12">
        <v>43951</v>
      </c>
      <c r="B321" t="s">
        <v>21</v>
      </c>
      <c r="C321">
        <v>214386</v>
      </c>
      <c r="D321">
        <v>22530000</v>
      </c>
    </row>
    <row r="322" spans="1:4" x14ac:dyDescent="0.3">
      <c r="A322" s="12">
        <v>43961</v>
      </c>
      <c r="B322" t="s">
        <v>21</v>
      </c>
      <c r="C322">
        <v>243825</v>
      </c>
      <c r="D322">
        <v>24890404.5</v>
      </c>
    </row>
    <row r="323" spans="1:4" x14ac:dyDescent="0.3">
      <c r="A323" s="12">
        <v>43959</v>
      </c>
      <c r="B323" t="s">
        <v>21</v>
      </c>
      <c r="C323">
        <v>232701</v>
      </c>
      <c r="D323">
        <v>23881948.5</v>
      </c>
    </row>
    <row r="324" spans="1:4" x14ac:dyDescent="0.3">
      <c r="A324" s="12">
        <v>43958</v>
      </c>
      <c r="B324" t="s">
        <v>21</v>
      </c>
      <c r="C324">
        <v>219411</v>
      </c>
      <c r="D324">
        <v>22460130</v>
      </c>
    </row>
    <row r="325" spans="1:4" x14ac:dyDescent="0.3">
      <c r="A325" s="12">
        <v>43975</v>
      </c>
      <c r="B325" t="s">
        <v>21</v>
      </c>
      <c r="C325">
        <v>200029.5</v>
      </c>
      <c r="D325">
        <v>19959801</v>
      </c>
    </row>
    <row r="326" spans="1:4" x14ac:dyDescent="0.3">
      <c r="A326" s="12">
        <v>43967</v>
      </c>
      <c r="B326" t="s">
        <v>22</v>
      </c>
      <c r="C326">
        <v>225480</v>
      </c>
      <c r="D326">
        <v>22355338.5</v>
      </c>
    </row>
    <row r="327" spans="1:4" x14ac:dyDescent="0.3">
      <c r="A327" s="12">
        <v>43970</v>
      </c>
      <c r="B327" t="s">
        <v>22</v>
      </c>
      <c r="C327">
        <v>211453.5</v>
      </c>
      <c r="D327">
        <v>20590072.5</v>
      </c>
    </row>
    <row r="328" spans="1:4" x14ac:dyDescent="0.3">
      <c r="A328" s="12">
        <v>43968</v>
      </c>
      <c r="B328" t="s">
        <v>22</v>
      </c>
      <c r="C328">
        <v>184801.5</v>
      </c>
      <c r="D328">
        <v>18449091</v>
      </c>
    </row>
    <row r="329" spans="1:4" x14ac:dyDescent="0.3">
      <c r="A329" s="12">
        <v>43960</v>
      </c>
      <c r="B329" t="s">
        <v>22</v>
      </c>
      <c r="C329">
        <v>177976.5</v>
      </c>
      <c r="D329">
        <v>18085798.5</v>
      </c>
    </row>
    <row r="330" spans="1:4" x14ac:dyDescent="0.3">
      <c r="A330" s="12">
        <v>43955</v>
      </c>
      <c r="B330" t="s">
        <v>22</v>
      </c>
      <c r="C330">
        <v>223617</v>
      </c>
      <c r="D330">
        <v>22796827.5</v>
      </c>
    </row>
    <row r="331" spans="1:4" x14ac:dyDescent="0.3">
      <c r="A331" s="12">
        <v>43953</v>
      </c>
      <c r="B331" t="s">
        <v>22</v>
      </c>
      <c r="C331">
        <v>176397</v>
      </c>
      <c r="D331">
        <v>18625921.5</v>
      </c>
    </row>
    <row r="332" spans="1:4" x14ac:dyDescent="0.3">
      <c r="A332" s="12">
        <v>43977</v>
      </c>
      <c r="B332" t="s">
        <v>22</v>
      </c>
      <c r="C332">
        <v>232369.5</v>
      </c>
      <c r="D332">
        <v>23856345</v>
      </c>
    </row>
    <row r="333" spans="1:4" x14ac:dyDescent="0.3">
      <c r="A333" s="12">
        <v>43952</v>
      </c>
      <c r="B333" t="s">
        <v>22</v>
      </c>
      <c r="C333">
        <v>226540.5</v>
      </c>
      <c r="D333">
        <v>23953536</v>
      </c>
    </row>
    <row r="334" spans="1:4" x14ac:dyDescent="0.3">
      <c r="A334" s="12">
        <v>43963</v>
      </c>
      <c r="B334" t="s">
        <v>22</v>
      </c>
      <c r="C334">
        <v>189679.5</v>
      </c>
      <c r="D334">
        <v>18718036.5</v>
      </c>
    </row>
    <row r="335" spans="1:4" x14ac:dyDescent="0.3">
      <c r="A335" s="12">
        <v>43972</v>
      </c>
      <c r="B335" t="s">
        <v>22</v>
      </c>
      <c r="C335">
        <v>213640.5</v>
      </c>
      <c r="D335">
        <v>21042673.5</v>
      </c>
    </row>
    <row r="336" spans="1:4" x14ac:dyDescent="0.3">
      <c r="A336" s="12">
        <v>43971</v>
      </c>
      <c r="B336" t="s">
        <v>22</v>
      </c>
      <c r="C336">
        <v>214885.5</v>
      </c>
      <c r="D336">
        <v>21411349.5</v>
      </c>
    </row>
    <row r="337" spans="1:4" x14ac:dyDescent="0.3">
      <c r="A337" s="12">
        <v>43956</v>
      </c>
      <c r="B337" t="s">
        <v>22</v>
      </c>
      <c r="C337">
        <v>203832</v>
      </c>
      <c r="D337">
        <v>20880142.5</v>
      </c>
    </row>
    <row r="338" spans="1:4" x14ac:dyDescent="0.3">
      <c r="A338" s="12">
        <v>43964</v>
      </c>
      <c r="B338" t="s">
        <v>22</v>
      </c>
      <c r="C338">
        <v>188662.5</v>
      </c>
      <c r="D338">
        <v>18784000.5</v>
      </c>
    </row>
    <row r="339" spans="1:4" x14ac:dyDescent="0.3">
      <c r="A339" s="12">
        <v>43982</v>
      </c>
      <c r="B339" t="s">
        <v>21</v>
      </c>
      <c r="C339">
        <v>215277</v>
      </c>
      <c r="D339">
        <v>21585316.5</v>
      </c>
    </row>
    <row r="340" spans="1:4" x14ac:dyDescent="0.3">
      <c r="A340" s="12">
        <v>43954</v>
      </c>
      <c r="B340" t="s">
        <v>22</v>
      </c>
      <c r="C340">
        <v>248148</v>
      </c>
      <c r="D340">
        <v>25519072.5</v>
      </c>
    </row>
    <row r="341" spans="1:4" x14ac:dyDescent="0.3">
      <c r="A341" s="12">
        <v>43981</v>
      </c>
      <c r="B341" t="s">
        <v>21</v>
      </c>
      <c r="C341">
        <v>246414</v>
      </c>
      <c r="D341">
        <v>24527245.5</v>
      </c>
    </row>
    <row r="342" spans="1:4" x14ac:dyDescent="0.3">
      <c r="A342" s="12">
        <v>43957</v>
      </c>
      <c r="B342" t="s">
        <v>22</v>
      </c>
      <c r="C342">
        <v>216498</v>
      </c>
      <c r="D342">
        <v>22126444.5</v>
      </c>
    </row>
    <row r="343" spans="1:4" x14ac:dyDescent="0.3">
      <c r="A343" s="12">
        <v>43974</v>
      </c>
      <c r="B343" t="s">
        <v>22</v>
      </c>
      <c r="C343">
        <v>275793</v>
      </c>
      <c r="D343">
        <v>26806626</v>
      </c>
    </row>
    <row r="344" spans="1:4" x14ac:dyDescent="0.3">
      <c r="A344" s="12">
        <v>43979</v>
      </c>
      <c r="B344" t="s">
        <v>21</v>
      </c>
      <c r="C344">
        <v>199753.5</v>
      </c>
      <c r="D344">
        <v>20535733.5</v>
      </c>
    </row>
    <row r="345" spans="1:4" x14ac:dyDescent="0.3">
      <c r="A345" s="12">
        <v>43976</v>
      </c>
      <c r="B345" t="s">
        <v>22</v>
      </c>
      <c r="C345">
        <v>192948</v>
      </c>
      <c r="D345">
        <v>19806927</v>
      </c>
    </row>
    <row r="346" spans="1:4" x14ac:dyDescent="0.3">
      <c r="A346" s="12">
        <v>43951</v>
      </c>
      <c r="B346" t="s">
        <v>22</v>
      </c>
      <c r="C346">
        <v>206038.5</v>
      </c>
      <c r="D346">
        <v>21740460</v>
      </c>
    </row>
    <row r="347" spans="1:4" x14ac:dyDescent="0.3">
      <c r="A347" s="12">
        <v>43961</v>
      </c>
      <c r="B347" t="s">
        <v>22</v>
      </c>
      <c r="C347">
        <v>231559.5</v>
      </c>
      <c r="D347">
        <v>23443725</v>
      </c>
    </row>
    <row r="348" spans="1:4" x14ac:dyDescent="0.3">
      <c r="A348" s="12">
        <v>43959</v>
      </c>
      <c r="B348" t="s">
        <v>22</v>
      </c>
      <c r="C348">
        <v>225076.5</v>
      </c>
      <c r="D348">
        <v>22846078.5</v>
      </c>
    </row>
    <row r="349" spans="1:4" x14ac:dyDescent="0.3">
      <c r="A349" s="12">
        <v>43958</v>
      </c>
      <c r="B349" t="s">
        <v>22</v>
      </c>
      <c r="C349">
        <v>209415</v>
      </c>
      <c r="D349">
        <v>21463023</v>
      </c>
    </row>
    <row r="350" spans="1:4" x14ac:dyDescent="0.3">
      <c r="A350" s="12">
        <v>43975</v>
      </c>
      <c r="B350" t="s">
        <v>22</v>
      </c>
      <c r="C350">
        <v>193719</v>
      </c>
      <c r="D350">
        <v>19071117</v>
      </c>
    </row>
    <row r="351" spans="1:4" x14ac:dyDescent="0.3">
      <c r="A351" s="12">
        <v>43950</v>
      </c>
      <c r="B351" t="s">
        <v>23</v>
      </c>
      <c r="C351">
        <v>12250.5</v>
      </c>
      <c r="D351">
        <v>981519</v>
      </c>
    </row>
    <row r="352" spans="1:4" x14ac:dyDescent="0.3">
      <c r="A352" s="12">
        <v>43949</v>
      </c>
      <c r="B352" t="s">
        <v>23</v>
      </c>
      <c r="C352">
        <v>12541.5</v>
      </c>
      <c r="D352">
        <v>992541</v>
      </c>
    </row>
    <row r="353" spans="1:4" x14ac:dyDescent="0.3">
      <c r="A353" s="12">
        <v>43982</v>
      </c>
      <c r="B353" t="s">
        <v>22</v>
      </c>
      <c r="C353">
        <v>206758.5</v>
      </c>
      <c r="D353">
        <v>20717248.5</v>
      </c>
    </row>
    <row r="354" spans="1:4" x14ac:dyDescent="0.3">
      <c r="A354" s="12">
        <v>43981</v>
      </c>
      <c r="B354" t="s">
        <v>22</v>
      </c>
      <c r="C354">
        <v>244734</v>
      </c>
      <c r="D354">
        <v>24151980</v>
      </c>
    </row>
    <row r="355" spans="1:4" x14ac:dyDescent="0.3">
      <c r="A355" s="12">
        <v>43979</v>
      </c>
      <c r="B355" t="s">
        <v>22</v>
      </c>
      <c r="C355">
        <v>191641.5</v>
      </c>
      <c r="D355">
        <v>19549036.5</v>
      </c>
    </row>
    <row r="356" spans="1:4" x14ac:dyDescent="0.3">
      <c r="A356" s="12">
        <v>43967</v>
      </c>
      <c r="B356" t="s">
        <v>23</v>
      </c>
      <c r="C356">
        <v>16368</v>
      </c>
      <c r="D356">
        <v>1316350.5</v>
      </c>
    </row>
    <row r="357" spans="1:4" x14ac:dyDescent="0.3">
      <c r="A357" s="12">
        <v>43970</v>
      </c>
      <c r="B357" t="s">
        <v>23</v>
      </c>
      <c r="C357">
        <v>14427</v>
      </c>
      <c r="D357">
        <v>1126810.5</v>
      </c>
    </row>
    <row r="358" spans="1:4" x14ac:dyDescent="0.3">
      <c r="A358" s="12">
        <v>43968</v>
      </c>
      <c r="B358" t="s">
        <v>23</v>
      </c>
      <c r="C358">
        <v>13440</v>
      </c>
      <c r="D358">
        <v>1157529</v>
      </c>
    </row>
    <row r="359" spans="1:4" x14ac:dyDescent="0.3">
      <c r="A359" s="12">
        <v>43960</v>
      </c>
      <c r="B359" t="s">
        <v>23</v>
      </c>
      <c r="C359">
        <v>11745</v>
      </c>
      <c r="D359">
        <v>955801.5</v>
      </c>
    </row>
    <row r="360" spans="1:4" x14ac:dyDescent="0.3">
      <c r="A360" s="12">
        <v>43955</v>
      </c>
      <c r="B360" t="s">
        <v>23</v>
      </c>
      <c r="C360">
        <v>11062.5</v>
      </c>
      <c r="D360">
        <v>906343.5</v>
      </c>
    </row>
    <row r="361" spans="1:4" x14ac:dyDescent="0.3">
      <c r="A361" s="12">
        <v>43953</v>
      </c>
      <c r="B361" t="s">
        <v>23</v>
      </c>
      <c r="C361">
        <v>10018.5</v>
      </c>
      <c r="D361">
        <v>816859.5</v>
      </c>
    </row>
    <row r="362" spans="1:4" x14ac:dyDescent="0.3">
      <c r="A362" s="12">
        <v>43977</v>
      </c>
      <c r="B362" t="s">
        <v>24</v>
      </c>
      <c r="C362">
        <v>10437</v>
      </c>
      <c r="D362">
        <v>833815.5</v>
      </c>
    </row>
    <row r="363" spans="1:4" x14ac:dyDescent="0.3">
      <c r="A363" s="12">
        <v>43952</v>
      </c>
      <c r="B363" t="s">
        <v>23</v>
      </c>
      <c r="C363">
        <v>13644</v>
      </c>
      <c r="D363">
        <v>1134444</v>
      </c>
    </row>
    <row r="364" spans="1:4" x14ac:dyDescent="0.3">
      <c r="A364" s="12">
        <v>43963</v>
      </c>
      <c r="B364" t="s">
        <v>23</v>
      </c>
      <c r="C364">
        <v>13443</v>
      </c>
      <c r="D364">
        <v>1092277.5</v>
      </c>
    </row>
    <row r="365" spans="1:4" x14ac:dyDescent="0.3">
      <c r="A365" s="12">
        <v>43972</v>
      </c>
      <c r="B365" t="s">
        <v>23</v>
      </c>
      <c r="C365">
        <v>14182.5</v>
      </c>
      <c r="D365">
        <v>1172574</v>
      </c>
    </row>
    <row r="366" spans="1:4" x14ac:dyDescent="0.3">
      <c r="A366" s="12">
        <v>43971</v>
      </c>
      <c r="B366" t="s">
        <v>23</v>
      </c>
      <c r="C366">
        <v>14928</v>
      </c>
      <c r="D366">
        <v>1217749.5</v>
      </c>
    </row>
    <row r="367" spans="1:4" x14ac:dyDescent="0.3">
      <c r="A367" s="12">
        <v>43956</v>
      </c>
      <c r="B367" t="s">
        <v>23</v>
      </c>
      <c r="C367">
        <v>13941</v>
      </c>
      <c r="D367">
        <v>1145575.5</v>
      </c>
    </row>
    <row r="368" spans="1:4" x14ac:dyDescent="0.3">
      <c r="A368" s="12">
        <v>43964</v>
      </c>
      <c r="B368" t="s">
        <v>23</v>
      </c>
      <c r="C368">
        <v>14643</v>
      </c>
      <c r="D368">
        <v>1172691</v>
      </c>
    </row>
    <row r="369" spans="1:4" x14ac:dyDescent="0.3">
      <c r="A369" s="12">
        <v>43954</v>
      </c>
      <c r="B369" t="s">
        <v>23</v>
      </c>
      <c r="C369">
        <v>10032</v>
      </c>
      <c r="D369">
        <v>816150</v>
      </c>
    </row>
    <row r="370" spans="1:4" x14ac:dyDescent="0.3">
      <c r="A370" s="12">
        <v>43957</v>
      </c>
      <c r="B370" t="s">
        <v>23</v>
      </c>
      <c r="C370">
        <v>12468</v>
      </c>
      <c r="D370">
        <v>1016566.5</v>
      </c>
    </row>
    <row r="371" spans="1:4" x14ac:dyDescent="0.3">
      <c r="A371" s="12">
        <v>43974</v>
      </c>
      <c r="B371" t="s">
        <v>23</v>
      </c>
      <c r="C371">
        <v>17943</v>
      </c>
      <c r="D371">
        <v>1457391</v>
      </c>
    </row>
    <row r="372" spans="1:4" x14ac:dyDescent="0.3">
      <c r="A372" s="12">
        <v>43976</v>
      </c>
      <c r="B372" t="s">
        <v>23</v>
      </c>
      <c r="C372">
        <v>15807</v>
      </c>
      <c r="D372">
        <v>1326705</v>
      </c>
    </row>
    <row r="373" spans="1:4" x14ac:dyDescent="0.3">
      <c r="A373" s="12">
        <v>43951</v>
      </c>
      <c r="B373" t="s">
        <v>23</v>
      </c>
      <c r="C373">
        <v>11976</v>
      </c>
      <c r="D373">
        <v>1004511</v>
      </c>
    </row>
    <row r="374" spans="1:4" x14ac:dyDescent="0.3">
      <c r="A374" s="12">
        <v>43961</v>
      </c>
      <c r="B374" t="s">
        <v>23</v>
      </c>
      <c r="C374">
        <v>14566.5</v>
      </c>
      <c r="D374">
        <v>1216557</v>
      </c>
    </row>
    <row r="375" spans="1:4" x14ac:dyDescent="0.3">
      <c r="A375" s="12">
        <v>43959</v>
      </c>
      <c r="B375" t="s">
        <v>23</v>
      </c>
      <c r="C375">
        <v>12976.5</v>
      </c>
      <c r="D375">
        <v>1046848.5</v>
      </c>
    </row>
    <row r="376" spans="1:4" x14ac:dyDescent="0.3">
      <c r="A376" s="12">
        <v>43958</v>
      </c>
      <c r="B376" t="s">
        <v>23</v>
      </c>
      <c r="C376">
        <v>11719.5</v>
      </c>
      <c r="D376">
        <v>965880</v>
      </c>
    </row>
    <row r="377" spans="1:4" x14ac:dyDescent="0.3">
      <c r="A377" s="12">
        <v>43975</v>
      </c>
      <c r="B377" t="s">
        <v>23</v>
      </c>
      <c r="C377">
        <v>17197.5</v>
      </c>
      <c r="D377">
        <v>1386262.5</v>
      </c>
    </row>
    <row r="378" spans="1:4" x14ac:dyDescent="0.3">
      <c r="A378" s="12">
        <v>43977</v>
      </c>
      <c r="B378" t="s">
        <v>23</v>
      </c>
      <c r="C378">
        <v>14419.5</v>
      </c>
      <c r="D378">
        <v>1210456.5</v>
      </c>
    </row>
    <row r="379" spans="1:4" x14ac:dyDescent="0.3">
      <c r="A379" s="12">
        <v>43983</v>
      </c>
      <c r="B379" t="s">
        <v>9</v>
      </c>
      <c r="C379">
        <v>7816.5</v>
      </c>
      <c r="D379">
        <v>636345</v>
      </c>
    </row>
    <row r="380" spans="1:4" x14ac:dyDescent="0.3">
      <c r="A380" s="12">
        <v>43982</v>
      </c>
      <c r="B380" t="s">
        <v>25</v>
      </c>
      <c r="C380">
        <v>6409.5</v>
      </c>
      <c r="D380">
        <v>493893</v>
      </c>
    </row>
    <row r="381" spans="1:4" x14ac:dyDescent="0.3">
      <c r="A381" s="12">
        <v>43981</v>
      </c>
      <c r="B381" t="s">
        <v>24</v>
      </c>
      <c r="C381">
        <v>11220</v>
      </c>
      <c r="D381">
        <v>928675.5</v>
      </c>
    </row>
    <row r="382" spans="1:4" x14ac:dyDescent="0.3">
      <c r="A382" s="12">
        <v>43980</v>
      </c>
      <c r="B382" t="s">
        <v>9</v>
      </c>
      <c r="C382">
        <v>8350.5</v>
      </c>
      <c r="D382">
        <v>651237</v>
      </c>
    </row>
    <row r="383" spans="1:4" x14ac:dyDescent="0.3">
      <c r="A383" s="12">
        <v>43979</v>
      </c>
      <c r="B383" t="s">
        <v>24</v>
      </c>
      <c r="C383">
        <v>8428.5</v>
      </c>
      <c r="D383">
        <v>694669.5</v>
      </c>
    </row>
    <row r="384" spans="1:4" x14ac:dyDescent="0.3">
      <c r="A384" s="12">
        <v>43978</v>
      </c>
      <c r="B384" t="s">
        <v>10</v>
      </c>
      <c r="C384">
        <v>32817</v>
      </c>
      <c r="D384">
        <v>3015751.5</v>
      </c>
    </row>
    <row r="385" spans="1:4" x14ac:dyDescent="0.3">
      <c r="A385" s="12">
        <v>43973</v>
      </c>
      <c r="B385" t="s">
        <v>10</v>
      </c>
      <c r="C385">
        <v>36031.5</v>
      </c>
      <c r="D385">
        <v>3091069.5</v>
      </c>
    </row>
    <row r="386" spans="1:4" x14ac:dyDescent="0.3">
      <c r="A386" s="12">
        <v>43982</v>
      </c>
      <c r="B386" t="s">
        <v>26</v>
      </c>
      <c r="C386">
        <v>5127</v>
      </c>
      <c r="D386">
        <v>468835.5</v>
      </c>
    </row>
    <row r="387" spans="1:4" x14ac:dyDescent="0.3">
      <c r="A387" s="12">
        <v>43962</v>
      </c>
      <c r="B387" t="s">
        <v>10</v>
      </c>
      <c r="C387">
        <v>27187.5</v>
      </c>
      <c r="D387">
        <v>2479396.5</v>
      </c>
    </row>
    <row r="388" spans="1:4" x14ac:dyDescent="0.3">
      <c r="A388" s="12">
        <v>43981</v>
      </c>
      <c r="B388" t="s">
        <v>23</v>
      </c>
      <c r="C388">
        <v>20688</v>
      </c>
      <c r="D388">
        <v>1773154.5</v>
      </c>
    </row>
    <row r="389" spans="1:4" x14ac:dyDescent="0.3">
      <c r="A389" s="12">
        <v>43979</v>
      </c>
      <c r="B389" t="s">
        <v>23</v>
      </c>
      <c r="C389">
        <v>15678</v>
      </c>
      <c r="D389">
        <v>1387443</v>
      </c>
    </row>
    <row r="390" spans="1:4" x14ac:dyDescent="0.3">
      <c r="A390" s="12">
        <v>43969</v>
      </c>
      <c r="B390" t="s">
        <v>10</v>
      </c>
      <c r="C390">
        <v>31329</v>
      </c>
      <c r="D390">
        <v>2826379.5</v>
      </c>
    </row>
    <row r="391" spans="1:4" x14ac:dyDescent="0.3">
      <c r="A391" s="12">
        <v>43965</v>
      </c>
      <c r="B391" t="s">
        <v>10</v>
      </c>
      <c r="C391">
        <v>29658</v>
      </c>
      <c r="D391">
        <v>2703132</v>
      </c>
    </row>
    <row r="392" spans="1:4" x14ac:dyDescent="0.3">
      <c r="A392" s="12">
        <v>43966</v>
      </c>
      <c r="B392" t="s">
        <v>10</v>
      </c>
      <c r="C392">
        <v>34150.5</v>
      </c>
      <c r="D392">
        <v>3038293.5</v>
      </c>
    </row>
    <row r="393" spans="1:4" x14ac:dyDescent="0.3">
      <c r="A393" s="12">
        <v>43983</v>
      </c>
      <c r="B393" t="s">
        <v>10</v>
      </c>
      <c r="C393">
        <v>31947</v>
      </c>
      <c r="D393">
        <v>2945035.5</v>
      </c>
    </row>
    <row r="394" spans="1:4" x14ac:dyDescent="0.3">
      <c r="A394" s="12">
        <v>43982</v>
      </c>
      <c r="B394" t="s">
        <v>24</v>
      </c>
      <c r="C394">
        <v>10416</v>
      </c>
      <c r="D394">
        <v>866023.5</v>
      </c>
    </row>
    <row r="395" spans="1:4" x14ac:dyDescent="0.3">
      <c r="A395" s="12">
        <v>43980</v>
      </c>
      <c r="B395" t="s">
        <v>10</v>
      </c>
      <c r="C395">
        <v>35431.5</v>
      </c>
      <c r="D395">
        <v>3193167</v>
      </c>
    </row>
    <row r="396" spans="1:4" x14ac:dyDescent="0.3">
      <c r="A396" s="12">
        <v>43978</v>
      </c>
      <c r="B396" t="s">
        <v>11</v>
      </c>
      <c r="C396">
        <v>78544.5</v>
      </c>
      <c r="D396">
        <v>6701083.5</v>
      </c>
    </row>
    <row r="397" spans="1:4" x14ac:dyDescent="0.3">
      <c r="A397" s="12">
        <v>43973</v>
      </c>
      <c r="B397" t="s">
        <v>11</v>
      </c>
      <c r="C397">
        <v>97963.5</v>
      </c>
      <c r="D397">
        <v>7728465</v>
      </c>
    </row>
    <row r="398" spans="1:4" x14ac:dyDescent="0.3">
      <c r="A398" s="12">
        <v>43983</v>
      </c>
      <c r="B398" t="s">
        <v>11</v>
      </c>
      <c r="C398">
        <v>77269.5</v>
      </c>
      <c r="D398">
        <v>6829921.5</v>
      </c>
    </row>
    <row r="399" spans="1:4" x14ac:dyDescent="0.3">
      <c r="A399" s="12">
        <v>43982</v>
      </c>
      <c r="B399" t="s">
        <v>23</v>
      </c>
      <c r="C399">
        <v>16143</v>
      </c>
      <c r="D399">
        <v>1423410</v>
      </c>
    </row>
    <row r="400" spans="1:4" x14ac:dyDescent="0.3">
      <c r="A400" s="12">
        <v>43962</v>
      </c>
      <c r="B400" t="s">
        <v>11</v>
      </c>
      <c r="C400">
        <v>72220.5</v>
      </c>
      <c r="D400">
        <v>6398719.5</v>
      </c>
    </row>
    <row r="401" spans="1:4" x14ac:dyDescent="0.3">
      <c r="A401" s="12">
        <v>43969</v>
      </c>
      <c r="B401" t="s">
        <v>11</v>
      </c>
      <c r="C401">
        <v>78058.5</v>
      </c>
      <c r="D401">
        <v>6609714</v>
      </c>
    </row>
    <row r="402" spans="1:4" x14ac:dyDescent="0.3">
      <c r="A402" s="12">
        <v>43965</v>
      </c>
      <c r="B402" t="s">
        <v>11</v>
      </c>
      <c r="C402">
        <v>70498.5</v>
      </c>
      <c r="D402">
        <v>6053649</v>
      </c>
    </row>
    <row r="403" spans="1:4" x14ac:dyDescent="0.3">
      <c r="A403" s="12">
        <v>43966</v>
      </c>
      <c r="B403" t="s">
        <v>11</v>
      </c>
      <c r="C403">
        <v>78961.5</v>
      </c>
      <c r="D403">
        <v>6876454.5</v>
      </c>
    </row>
    <row r="404" spans="1:4" x14ac:dyDescent="0.3">
      <c r="A404" s="12">
        <v>43978</v>
      </c>
      <c r="B404" t="s">
        <v>12</v>
      </c>
      <c r="C404">
        <v>12490.5</v>
      </c>
      <c r="D404">
        <v>1054798.5</v>
      </c>
    </row>
    <row r="405" spans="1:4" x14ac:dyDescent="0.3">
      <c r="A405" s="12">
        <v>43973</v>
      </c>
      <c r="B405" t="s">
        <v>12</v>
      </c>
      <c r="C405">
        <v>18036</v>
      </c>
      <c r="D405">
        <v>1455049.5</v>
      </c>
    </row>
    <row r="406" spans="1:4" x14ac:dyDescent="0.3">
      <c r="A406" s="12">
        <v>43983</v>
      </c>
      <c r="B406" t="s">
        <v>12</v>
      </c>
      <c r="C406">
        <v>11416.5</v>
      </c>
      <c r="D406">
        <v>1007742</v>
      </c>
    </row>
    <row r="407" spans="1:4" x14ac:dyDescent="0.3">
      <c r="A407" s="12">
        <v>43962</v>
      </c>
      <c r="B407" t="s">
        <v>12</v>
      </c>
      <c r="C407">
        <v>9007.5</v>
      </c>
      <c r="D407">
        <v>734335.5</v>
      </c>
    </row>
    <row r="408" spans="1:4" x14ac:dyDescent="0.3">
      <c r="A408" s="12">
        <v>43980</v>
      </c>
      <c r="B408" t="s">
        <v>11</v>
      </c>
      <c r="C408">
        <v>87552</v>
      </c>
      <c r="D408">
        <v>7387116</v>
      </c>
    </row>
    <row r="409" spans="1:4" x14ac:dyDescent="0.3">
      <c r="A409" s="12">
        <v>43969</v>
      </c>
      <c r="B409" t="s">
        <v>12</v>
      </c>
      <c r="C409">
        <v>11680.5</v>
      </c>
      <c r="D409">
        <v>936427.5</v>
      </c>
    </row>
    <row r="410" spans="1:4" x14ac:dyDescent="0.3">
      <c r="A410" s="12">
        <v>43965</v>
      </c>
      <c r="B410" t="s">
        <v>12</v>
      </c>
      <c r="C410">
        <v>12037.5</v>
      </c>
      <c r="D410">
        <v>981564</v>
      </c>
    </row>
    <row r="411" spans="1:4" x14ac:dyDescent="0.3">
      <c r="A411" s="12">
        <v>43966</v>
      </c>
      <c r="B411" t="s">
        <v>12</v>
      </c>
      <c r="C411">
        <v>14421</v>
      </c>
      <c r="D411">
        <v>1150579.5</v>
      </c>
    </row>
    <row r="412" spans="1:4" x14ac:dyDescent="0.3">
      <c r="A412" s="12">
        <v>43980</v>
      </c>
      <c r="B412" t="s">
        <v>12</v>
      </c>
      <c r="C412">
        <v>14823</v>
      </c>
      <c r="D412">
        <v>1273464</v>
      </c>
    </row>
    <row r="413" spans="1:4" x14ac:dyDescent="0.3">
      <c r="A413" s="12">
        <v>43978</v>
      </c>
      <c r="B413" t="s">
        <v>13</v>
      </c>
      <c r="C413">
        <v>31257</v>
      </c>
      <c r="D413">
        <v>2924133</v>
      </c>
    </row>
    <row r="414" spans="1:4" x14ac:dyDescent="0.3">
      <c r="A414" s="12">
        <v>43973</v>
      </c>
      <c r="B414" t="s">
        <v>13</v>
      </c>
      <c r="C414">
        <v>38074.5</v>
      </c>
      <c r="D414">
        <v>3414180</v>
      </c>
    </row>
    <row r="415" spans="1:4" x14ac:dyDescent="0.3">
      <c r="A415" s="12">
        <v>43983</v>
      </c>
      <c r="B415" t="s">
        <v>13</v>
      </c>
      <c r="C415">
        <v>32170.5</v>
      </c>
      <c r="D415">
        <v>3013512</v>
      </c>
    </row>
    <row r="416" spans="1:4" x14ac:dyDescent="0.3">
      <c r="A416" s="12">
        <v>43962</v>
      </c>
      <c r="B416" t="s">
        <v>13</v>
      </c>
      <c r="C416">
        <v>42397.5</v>
      </c>
      <c r="D416">
        <v>3911979</v>
      </c>
    </row>
    <row r="417" spans="1:4" x14ac:dyDescent="0.3">
      <c r="A417" s="12">
        <v>43969</v>
      </c>
      <c r="B417" t="s">
        <v>13</v>
      </c>
      <c r="C417">
        <v>28668</v>
      </c>
      <c r="D417">
        <v>2588148</v>
      </c>
    </row>
    <row r="418" spans="1:4" x14ac:dyDescent="0.3">
      <c r="A418" s="12">
        <v>43965</v>
      </c>
      <c r="B418" t="s">
        <v>13</v>
      </c>
      <c r="C418">
        <v>27411</v>
      </c>
      <c r="D418">
        <v>2441520</v>
      </c>
    </row>
    <row r="419" spans="1:4" x14ac:dyDescent="0.3">
      <c r="A419" s="12">
        <v>43966</v>
      </c>
      <c r="B419" t="s">
        <v>13</v>
      </c>
      <c r="C419">
        <v>32854.5</v>
      </c>
      <c r="D419">
        <v>2949078</v>
      </c>
    </row>
    <row r="420" spans="1:4" x14ac:dyDescent="0.3">
      <c r="A420" s="12">
        <v>43980</v>
      </c>
      <c r="B420" t="s">
        <v>13</v>
      </c>
      <c r="C420">
        <v>35346</v>
      </c>
      <c r="D420">
        <v>3258054</v>
      </c>
    </row>
    <row r="421" spans="1:4" x14ac:dyDescent="0.3">
      <c r="A421" s="12">
        <v>43978</v>
      </c>
      <c r="B421" t="s">
        <v>14</v>
      </c>
      <c r="C421">
        <v>286558.5</v>
      </c>
      <c r="D421">
        <v>29256993</v>
      </c>
    </row>
    <row r="422" spans="1:4" x14ac:dyDescent="0.3">
      <c r="A422" s="12">
        <v>43973</v>
      </c>
      <c r="B422" t="s">
        <v>14</v>
      </c>
      <c r="C422">
        <v>304092</v>
      </c>
      <c r="D422">
        <v>29465769</v>
      </c>
    </row>
    <row r="423" spans="1:4" x14ac:dyDescent="0.3">
      <c r="A423" s="12">
        <v>43983</v>
      </c>
      <c r="B423" t="s">
        <v>14</v>
      </c>
      <c r="C423">
        <v>272926.5</v>
      </c>
      <c r="D423">
        <v>27770092.5</v>
      </c>
    </row>
    <row r="424" spans="1:4" x14ac:dyDescent="0.3">
      <c r="A424" s="12">
        <v>43962</v>
      </c>
      <c r="B424" t="s">
        <v>14</v>
      </c>
      <c r="C424">
        <v>237099</v>
      </c>
      <c r="D424">
        <v>24628233.223949999</v>
      </c>
    </row>
    <row r="425" spans="1:4" x14ac:dyDescent="0.3">
      <c r="A425" s="12">
        <v>43969</v>
      </c>
      <c r="B425" t="s">
        <v>14</v>
      </c>
      <c r="C425">
        <v>273900</v>
      </c>
      <c r="D425">
        <v>27535284.147600003</v>
      </c>
    </row>
    <row r="426" spans="1:4" x14ac:dyDescent="0.3">
      <c r="A426" s="12">
        <v>43965</v>
      </c>
      <c r="B426" t="s">
        <v>14</v>
      </c>
      <c r="C426">
        <v>274059</v>
      </c>
      <c r="D426">
        <v>28181292</v>
      </c>
    </row>
    <row r="427" spans="1:4" x14ac:dyDescent="0.3">
      <c r="A427" s="12">
        <v>43966</v>
      </c>
      <c r="B427" t="s">
        <v>14</v>
      </c>
      <c r="C427">
        <v>318816</v>
      </c>
      <c r="D427">
        <v>32354331</v>
      </c>
    </row>
    <row r="428" spans="1:4" x14ac:dyDescent="0.3">
      <c r="A428" s="12">
        <v>43978</v>
      </c>
      <c r="B428" t="s">
        <v>15</v>
      </c>
      <c r="C428">
        <v>370012.5</v>
      </c>
      <c r="D428">
        <v>39034861.5</v>
      </c>
    </row>
    <row r="429" spans="1:4" x14ac:dyDescent="0.3">
      <c r="A429" s="12">
        <v>43973</v>
      </c>
      <c r="B429" t="s">
        <v>15</v>
      </c>
      <c r="C429">
        <v>393018</v>
      </c>
      <c r="D429">
        <v>39498373.5</v>
      </c>
    </row>
    <row r="430" spans="1:4" x14ac:dyDescent="0.3">
      <c r="A430" s="12">
        <v>43983</v>
      </c>
      <c r="B430" t="s">
        <v>15</v>
      </c>
      <c r="C430">
        <v>349699.5</v>
      </c>
      <c r="D430">
        <v>37257840.18135</v>
      </c>
    </row>
    <row r="431" spans="1:4" x14ac:dyDescent="0.3">
      <c r="A431" s="12">
        <v>43962</v>
      </c>
      <c r="B431" t="s">
        <v>15</v>
      </c>
      <c r="C431">
        <v>318565.5</v>
      </c>
      <c r="D431">
        <v>33781581</v>
      </c>
    </row>
    <row r="432" spans="1:4" x14ac:dyDescent="0.3">
      <c r="A432" s="12">
        <v>43980</v>
      </c>
      <c r="B432" t="s">
        <v>14</v>
      </c>
      <c r="C432">
        <v>422965.5</v>
      </c>
      <c r="D432">
        <v>41767140.105000004</v>
      </c>
    </row>
    <row r="433" spans="1:4" x14ac:dyDescent="0.3">
      <c r="A433" s="12">
        <v>43969</v>
      </c>
      <c r="B433" t="s">
        <v>15</v>
      </c>
      <c r="C433">
        <v>355081.5</v>
      </c>
      <c r="D433">
        <v>36876888</v>
      </c>
    </row>
    <row r="434" spans="1:4" x14ac:dyDescent="0.3">
      <c r="A434" s="12">
        <v>43965</v>
      </c>
      <c r="B434" t="s">
        <v>15</v>
      </c>
      <c r="C434">
        <v>358387.5</v>
      </c>
      <c r="D434">
        <v>37963150.5</v>
      </c>
    </row>
    <row r="435" spans="1:4" x14ac:dyDescent="0.3">
      <c r="A435" s="12">
        <v>43966</v>
      </c>
      <c r="B435" t="s">
        <v>15</v>
      </c>
      <c r="C435">
        <v>403261.5</v>
      </c>
      <c r="D435">
        <v>42271377</v>
      </c>
    </row>
    <row r="436" spans="1:4" x14ac:dyDescent="0.3">
      <c r="A436" s="12">
        <v>43978</v>
      </c>
      <c r="B436" t="s">
        <v>16</v>
      </c>
      <c r="C436">
        <v>69010.5</v>
      </c>
      <c r="D436">
        <v>5985894</v>
      </c>
    </row>
    <row r="437" spans="1:4" x14ac:dyDescent="0.3">
      <c r="A437" s="12">
        <v>43973</v>
      </c>
      <c r="B437" t="s">
        <v>16</v>
      </c>
      <c r="C437">
        <v>75820.5</v>
      </c>
      <c r="D437">
        <v>5943489</v>
      </c>
    </row>
    <row r="438" spans="1:4" x14ac:dyDescent="0.3">
      <c r="A438" s="12">
        <v>43983</v>
      </c>
      <c r="B438" t="s">
        <v>16</v>
      </c>
      <c r="C438">
        <v>64740</v>
      </c>
      <c r="D438">
        <v>5800290</v>
      </c>
    </row>
    <row r="439" spans="1:4" x14ac:dyDescent="0.3">
      <c r="A439" s="12">
        <v>43962</v>
      </c>
      <c r="B439" t="s">
        <v>16</v>
      </c>
      <c r="C439">
        <v>59574</v>
      </c>
      <c r="D439">
        <v>5178169.5</v>
      </c>
    </row>
    <row r="440" spans="1:4" x14ac:dyDescent="0.3">
      <c r="A440" s="12">
        <v>43980</v>
      </c>
      <c r="B440" t="s">
        <v>15</v>
      </c>
      <c r="C440">
        <v>524481</v>
      </c>
      <c r="D440">
        <v>54172029</v>
      </c>
    </row>
    <row r="441" spans="1:4" x14ac:dyDescent="0.3">
      <c r="A441" s="12">
        <v>43969</v>
      </c>
      <c r="B441" t="s">
        <v>16</v>
      </c>
      <c r="C441">
        <v>70278</v>
      </c>
      <c r="D441">
        <v>5798476.5</v>
      </c>
    </row>
    <row r="442" spans="1:4" x14ac:dyDescent="0.3">
      <c r="A442" s="12">
        <v>43965</v>
      </c>
      <c r="B442" t="s">
        <v>16</v>
      </c>
      <c r="C442">
        <v>63645</v>
      </c>
      <c r="D442">
        <v>5366602.5</v>
      </c>
    </row>
    <row r="443" spans="1:4" x14ac:dyDescent="0.3">
      <c r="A443" s="12">
        <v>43966</v>
      </c>
      <c r="B443" t="s">
        <v>16</v>
      </c>
      <c r="C443">
        <v>75642</v>
      </c>
      <c r="D443">
        <v>6293952</v>
      </c>
    </row>
    <row r="444" spans="1:4" x14ac:dyDescent="0.3">
      <c r="A444" s="12">
        <v>43978</v>
      </c>
      <c r="B444" t="s">
        <v>17</v>
      </c>
      <c r="C444">
        <v>40420.5</v>
      </c>
      <c r="D444">
        <v>3780852</v>
      </c>
    </row>
    <row r="445" spans="1:4" x14ac:dyDescent="0.3">
      <c r="A445" s="12">
        <v>43973</v>
      </c>
      <c r="B445" t="s">
        <v>17</v>
      </c>
      <c r="C445">
        <v>53838</v>
      </c>
      <c r="D445">
        <v>4840833</v>
      </c>
    </row>
    <row r="446" spans="1:4" x14ac:dyDescent="0.3">
      <c r="A446" s="12">
        <v>43983</v>
      </c>
      <c r="B446" t="s">
        <v>17</v>
      </c>
      <c r="C446">
        <v>40528.5</v>
      </c>
      <c r="D446">
        <v>3865251</v>
      </c>
    </row>
    <row r="447" spans="1:4" x14ac:dyDescent="0.3">
      <c r="A447" s="12">
        <v>43962</v>
      </c>
      <c r="B447" t="s">
        <v>17</v>
      </c>
      <c r="C447">
        <v>32733</v>
      </c>
      <c r="D447">
        <v>3079630.5</v>
      </c>
    </row>
    <row r="448" spans="1:4" x14ac:dyDescent="0.3">
      <c r="A448" s="12">
        <v>43980</v>
      </c>
      <c r="B448" t="s">
        <v>16</v>
      </c>
      <c r="C448">
        <v>84433.5</v>
      </c>
      <c r="D448">
        <v>7228395</v>
      </c>
    </row>
    <row r="449" spans="1:4" x14ac:dyDescent="0.3">
      <c r="A449" s="12">
        <v>43969</v>
      </c>
      <c r="B449" t="s">
        <v>17</v>
      </c>
      <c r="C449">
        <v>36655.5</v>
      </c>
      <c r="D449">
        <v>3360135</v>
      </c>
    </row>
    <row r="450" spans="1:4" x14ac:dyDescent="0.3">
      <c r="A450" s="12">
        <v>43965</v>
      </c>
      <c r="B450" t="s">
        <v>17</v>
      </c>
      <c r="C450">
        <v>33886.5</v>
      </c>
      <c r="D450">
        <v>3166479</v>
      </c>
    </row>
    <row r="451" spans="1:4" x14ac:dyDescent="0.3">
      <c r="A451" s="12">
        <v>43966</v>
      </c>
      <c r="B451" t="s">
        <v>17</v>
      </c>
      <c r="C451">
        <v>41697</v>
      </c>
      <c r="D451">
        <v>3772258.5</v>
      </c>
    </row>
    <row r="452" spans="1:4" x14ac:dyDescent="0.3">
      <c r="A452" s="12">
        <v>43980</v>
      </c>
      <c r="B452" t="s">
        <v>17</v>
      </c>
      <c r="C452">
        <v>44569.5</v>
      </c>
      <c r="D452">
        <v>4108596</v>
      </c>
    </row>
    <row r="453" spans="1:4" x14ac:dyDescent="0.3">
      <c r="A453" s="12">
        <v>43978</v>
      </c>
      <c r="B453" t="s">
        <v>18</v>
      </c>
      <c r="C453">
        <v>18069</v>
      </c>
      <c r="D453">
        <v>1603084.5</v>
      </c>
    </row>
    <row r="454" spans="1:4" x14ac:dyDescent="0.3">
      <c r="A454" s="12">
        <v>43973</v>
      </c>
      <c r="B454" t="s">
        <v>18</v>
      </c>
      <c r="C454">
        <v>21483</v>
      </c>
      <c r="D454">
        <v>1774329</v>
      </c>
    </row>
    <row r="455" spans="1:4" x14ac:dyDescent="0.3">
      <c r="A455" s="12">
        <v>43983</v>
      </c>
      <c r="B455" t="s">
        <v>18</v>
      </c>
      <c r="C455">
        <v>16687.5</v>
      </c>
      <c r="D455">
        <v>1526608.5</v>
      </c>
    </row>
    <row r="456" spans="1:4" x14ac:dyDescent="0.3">
      <c r="A456" s="12">
        <v>43962</v>
      </c>
      <c r="B456" t="s">
        <v>18</v>
      </c>
      <c r="C456">
        <v>12238.5</v>
      </c>
      <c r="D456">
        <v>1096002</v>
      </c>
    </row>
    <row r="457" spans="1:4" x14ac:dyDescent="0.3">
      <c r="A457" s="12">
        <v>43969</v>
      </c>
      <c r="B457" t="s">
        <v>18</v>
      </c>
      <c r="C457">
        <v>14290.5</v>
      </c>
      <c r="D457">
        <v>1246162.5</v>
      </c>
    </row>
    <row r="458" spans="1:4" x14ac:dyDescent="0.3">
      <c r="A458" s="12">
        <v>43965</v>
      </c>
      <c r="B458" t="s">
        <v>18</v>
      </c>
      <c r="C458">
        <v>14385</v>
      </c>
      <c r="D458">
        <v>1223491.5</v>
      </c>
    </row>
    <row r="459" spans="1:4" x14ac:dyDescent="0.3">
      <c r="A459" s="12">
        <v>43966</v>
      </c>
      <c r="B459" t="s">
        <v>18</v>
      </c>
      <c r="C459">
        <v>16498.5</v>
      </c>
      <c r="D459">
        <v>1370482.5</v>
      </c>
    </row>
    <row r="460" spans="1:4" x14ac:dyDescent="0.3">
      <c r="A460" s="12">
        <v>43978</v>
      </c>
      <c r="B460" t="s">
        <v>19</v>
      </c>
      <c r="C460">
        <v>13203</v>
      </c>
      <c r="D460">
        <v>1211457</v>
      </c>
    </row>
    <row r="461" spans="1:4" x14ac:dyDescent="0.3">
      <c r="A461" s="12">
        <v>43973</v>
      </c>
      <c r="B461" t="s">
        <v>19</v>
      </c>
      <c r="C461">
        <v>15802.5</v>
      </c>
      <c r="D461">
        <v>1411909.5</v>
      </c>
    </row>
    <row r="462" spans="1:4" x14ac:dyDescent="0.3">
      <c r="A462" s="12">
        <v>43983</v>
      </c>
      <c r="B462" t="s">
        <v>19</v>
      </c>
      <c r="C462">
        <v>16476</v>
      </c>
      <c r="D462">
        <v>1565632.5</v>
      </c>
    </row>
    <row r="463" spans="1:4" x14ac:dyDescent="0.3">
      <c r="A463" s="12">
        <v>43962</v>
      </c>
      <c r="B463" t="s">
        <v>19</v>
      </c>
      <c r="C463">
        <v>12654</v>
      </c>
      <c r="D463">
        <v>1081158</v>
      </c>
    </row>
    <row r="464" spans="1:4" x14ac:dyDescent="0.3">
      <c r="A464" s="12">
        <v>43980</v>
      </c>
      <c r="B464" t="s">
        <v>18</v>
      </c>
      <c r="C464">
        <v>19647</v>
      </c>
      <c r="D464">
        <v>1764669</v>
      </c>
    </row>
    <row r="465" spans="1:4" x14ac:dyDescent="0.3">
      <c r="A465" s="12">
        <v>43969</v>
      </c>
      <c r="B465" t="s">
        <v>19</v>
      </c>
      <c r="C465">
        <v>12450</v>
      </c>
      <c r="D465">
        <v>1115146.5</v>
      </c>
    </row>
    <row r="466" spans="1:4" x14ac:dyDescent="0.3">
      <c r="A466" s="12">
        <v>43965</v>
      </c>
      <c r="B466" t="s">
        <v>19</v>
      </c>
      <c r="C466">
        <v>11161.5</v>
      </c>
      <c r="D466">
        <v>963502.5</v>
      </c>
    </row>
    <row r="467" spans="1:4" x14ac:dyDescent="0.3">
      <c r="A467" s="12">
        <v>43966</v>
      </c>
      <c r="B467" t="s">
        <v>19</v>
      </c>
      <c r="C467">
        <v>12229.5</v>
      </c>
      <c r="D467">
        <v>1122730.5</v>
      </c>
    </row>
    <row r="468" spans="1:4" x14ac:dyDescent="0.3">
      <c r="A468" s="12">
        <v>43978</v>
      </c>
      <c r="B468" t="s">
        <v>20</v>
      </c>
      <c r="C468">
        <v>28050</v>
      </c>
      <c r="D468">
        <v>2458555.5</v>
      </c>
    </row>
    <row r="469" spans="1:4" x14ac:dyDescent="0.3">
      <c r="A469" s="12">
        <v>43973</v>
      </c>
      <c r="B469" t="s">
        <v>20</v>
      </c>
      <c r="C469">
        <v>30781.5</v>
      </c>
      <c r="D469">
        <v>2540715</v>
      </c>
    </row>
    <row r="470" spans="1:4" x14ac:dyDescent="0.3">
      <c r="A470" s="12">
        <v>43983</v>
      </c>
      <c r="B470" t="s">
        <v>20</v>
      </c>
      <c r="C470">
        <v>27960</v>
      </c>
      <c r="D470">
        <v>2538967.5</v>
      </c>
    </row>
    <row r="471" spans="1:4" x14ac:dyDescent="0.3">
      <c r="A471" s="12">
        <v>43962</v>
      </c>
      <c r="B471" t="s">
        <v>20</v>
      </c>
      <c r="C471">
        <v>23629.5</v>
      </c>
      <c r="D471">
        <v>2164365</v>
      </c>
    </row>
    <row r="472" spans="1:4" x14ac:dyDescent="0.3">
      <c r="A472" s="12">
        <v>43980</v>
      </c>
      <c r="B472" t="s">
        <v>19</v>
      </c>
      <c r="C472">
        <v>17052</v>
      </c>
      <c r="D472">
        <v>1549020</v>
      </c>
    </row>
    <row r="473" spans="1:4" x14ac:dyDescent="0.3">
      <c r="A473" s="12">
        <v>43969</v>
      </c>
      <c r="B473" t="s">
        <v>20</v>
      </c>
      <c r="C473">
        <v>27181.5</v>
      </c>
      <c r="D473">
        <v>2324490</v>
      </c>
    </row>
    <row r="474" spans="1:4" x14ac:dyDescent="0.3">
      <c r="A474" s="12">
        <v>43965</v>
      </c>
      <c r="B474" t="s">
        <v>20</v>
      </c>
      <c r="C474">
        <v>25656</v>
      </c>
      <c r="D474">
        <v>2225341.5</v>
      </c>
    </row>
    <row r="475" spans="1:4" x14ac:dyDescent="0.3">
      <c r="A475" s="12">
        <v>43966</v>
      </c>
      <c r="B475" t="s">
        <v>20</v>
      </c>
      <c r="C475">
        <v>29283</v>
      </c>
      <c r="D475">
        <v>2477487</v>
      </c>
    </row>
    <row r="476" spans="1:4" x14ac:dyDescent="0.3">
      <c r="A476" s="12">
        <v>43980</v>
      </c>
      <c r="B476" t="s">
        <v>20</v>
      </c>
      <c r="C476">
        <v>32782.5</v>
      </c>
      <c r="D476">
        <v>2854741.5</v>
      </c>
    </row>
    <row r="477" spans="1:4" x14ac:dyDescent="0.3">
      <c r="A477" s="12">
        <v>43978</v>
      </c>
      <c r="B477" t="s">
        <v>21</v>
      </c>
      <c r="C477">
        <v>215592</v>
      </c>
      <c r="D477">
        <v>22342300.5</v>
      </c>
    </row>
    <row r="478" spans="1:4" x14ac:dyDescent="0.3">
      <c r="A478" s="12">
        <v>43973</v>
      </c>
      <c r="B478" t="s">
        <v>21</v>
      </c>
      <c r="C478">
        <v>228334.5</v>
      </c>
      <c r="D478">
        <v>22380772.5</v>
      </c>
    </row>
    <row r="479" spans="1:4" x14ac:dyDescent="0.3">
      <c r="A479" s="12">
        <v>43983</v>
      </c>
      <c r="B479" t="s">
        <v>21</v>
      </c>
      <c r="C479">
        <v>188776.5</v>
      </c>
      <c r="D479">
        <v>19465372.5</v>
      </c>
    </row>
    <row r="480" spans="1:4" x14ac:dyDescent="0.3">
      <c r="A480" s="12">
        <v>43962</v>
      </c>
      <c r="B480" t="s">
        <v>21</v>
      </c>
      <c r="C480">
        <v>175293</v>
      </c>
      <c r="D480">
        <v>17919144</v>
      </c>
    </row>
    <row r="481" spans="1:4" x14ac:dyDescent="0.3">
      <c r="A481" s="12">
        <v>43969</v>
      </c>
      <c r="B481" t="s">
        <v>21</v>
      </c>
      <c r="C481">
        <v>201999</v>
      </c>
      <c r="D481">
        <v>20422435.5</v>
      </c>
    </row>
    <row r="482" spans="1:4" x14ac:dyDescent="0.3">
      <c r="A482" s="12">
        <v>43965</v>
      </c>
      <c r="B482" t="s">
        <v>21</v>
      </c>
      <c r="C482">
        <v>197946</v>
      </c>
      <c r="D482">
        <v>19942435.5</v>
      </c>
    </row>
    <row r="483" spans="1:4" x14ac:dyDescent="0.3">
      <c r="A483" s="12">
        <v>43966</v>
      </c>
      <c r="B483" t="s">
        <v>21</v>
      </c>
      <c r="C483">
        <v>230896.5</v>
      </c>
      <c r="D483">
        <v>23085222</v>
      </c>
    </row>
    <row r="484" spans="1:4" x14ac:dyDescent="0.3">
      <c r="A484" s="12">
        <v>43978</v>
      </c>
      <c r="B484" t="s">
        <v>22</v>
      </c>
      <c r="C484">
        <v>203532</v>
      </c>
      <c r="D484">
        <v>20953324.5</v>
      </c>
    </row>
    <row r="485" spans="1:4" x14ac:dyDescent="0.3">
      <c r="A485" s="12">
        <v>43973</v>
      </c>
      <c r="B485" t="s">
        <v>22</v>
      </c>
      <c r="C485">
        <v>214428</v>
      </c>
      <c r="D485">
        <v>20812585.5</v>
      </c>
    </row>
    <row r="486" spans="1:4" x14ac:dyDescent="0.3">
      <c r="A486" s="12">
        <v>43983</v>
      </c>
      <c r="B486" t="s">
        <v>22</v>
      </c>
      <c r="C486">
        <v>183228</v>
      </c>
      <c r="D486">
        <v>18914194.5</v>
      </c>
    </row>
    <row r="487" spans="1:4" x14ac:dyDescent="0.3">
      <c r="A487" s="12">
        <v>43962</v>
      </c>
      <c r="B487" t="s">
        <v>22</v>
      </c>
      <c r="C487">
        <v>166948.5</v>
      </c>
      <c r="D487">
        <v>16971231</v>
      </c>
    </row>
    <row r="488" spans="1:4" x14ac:dyDescent="0.3">
      <c r="A488" s="12">
        <v>43980</v>
      </c>
      <c r="B488" t="s">
        <v>21</v>
      </c>
      <c r="C488">
        <v>232102.5</v>
      </c>
      <c r="D488">
        <v>23120443.5</v>
      </c>
    </row>
    <row r="489" spans="1:4" x14ac:dyDescent="0.3">
      <c r="A489" s="12">
        <v>43969</v>
      </c>
      <c r="B489" t="s">
        <v>22</v>
      </c>
      <c r="C489">
        <v>196560</v>
      </c>
      <c r="D489">
        <v>19855122</v>
      </c>
    </row>
    <row r="490" spans="1:4" x14ac:dyDescent="0.3">
      <c r="A490" s="12">
        <v>43965</v>
      </c>
      <c r="B490" t="s">
        <v>22</v>
      </c>
      <c r="C490">
        <v>186496.5</v>
      </c>
      <c r="D490">
        <v>18640998</v>
      </c>
    </row>
    <row r="491" spans="1:4" x14ac:dyDescent="0.3">
      <c r="A491" s="12">
        <v>43966</v>
      </c>
      <c r="B491" t="s">
        <v>22</v>
      </c>
      <c r="C491">
        <v>219772.5</v>
      </c>
      <c r="D491">
        <v>21895294.5</v>
      </c>
    </row>
    <row r="492" spans="1:4" x14ac:dyDescent="0.3">
      <c r="A492" s="12">
        <v>43980</v>
      </c>
      <c r="B492" t="s">
        <v>22</v>
      </c>
      <c r="C492">
        <v>226476</v>
      </c>
      <c r="D492">
        <v>22416151.5</v>
      </c>
    </row>
    <row r="493" spans="1:4" x14ac:dyDescent="0.3">
      <c r="A493" s="12">
        <v>43978</v>
      </c>
      <c r="B493" t="s">
        <v>24</v>
      </c>
      <c r="C493">
        <v>8362.5</v>
      </c>
      <c r="D493">
        <v>687684</v>
      </c>
    </row>
    <row r="494" spans="1:4" x14ac:dyDescent="0.3">
      <c r="A494" s="12">
        <v>43973</v>
      </c>
      <c r="B494" t="s">
        <v>23</v>
      </c>
      <c r="C494">
        <v>17008.5</v>
      </c>
      <c r="D494">
        <v>1398771</v>
      </c>
    </row>
    <row r="495" spans="1:4" x14ac:dyDescent="0.3">
      <c r="A495" s="12">
        <v>43983</v>
      </c>
      <c r="B495" t="s">
        <v>25</v>
      </c>
      <c r="C495">
        <v>5166</v>
      </c>
      <c r="D495">
        <v>389013</v>
      </c>
    </row>
    <row r="496" spans="1:4" x14ac:dyDescent="0.3">
      <c r="A496" s="12">
        <v>43962</v>
      </c>
      <c r="B496" t="s">
        <v>23</v>
      </c>
      <c r="C496">
        <v>10941</v>
      </c>
      <c r="D496">
        <v>880356</v>
      </c>
    </row>
    <row r="497" spans="1:4" x14ac:dyDescent="0.3">
      <c r="A497" s="12">
        <v>43969</v>
      </c>
      <c r="B497" t="s">
        <v>23</v>
      </c>
      <c r="C497">
        <v>14497.5</v>
      </c>
      <c r="D497">
        <v>1230711</v>
      </c>
    </row>
    <row r="498" spans="1:4" x14ac:dyDescent="0.3">
      <c r="A498" s="12">
        <v>43965</v>
      </c>
      <c r="B498" t="s">
        <v>23</v>
      </c>
      <c r="C498">
        <v>13810.5</v>
      </c>
      <c r="D498">
        <v>1131676.5</v>
      </c>
    </row>
    <row r="499" spans="1:4" x14ac:dyDescent="0.3">
      <c r="A499" s="12">
        <v>43966</v>
      </c>
      <c r="B499" t="s">
        <v>23</v>
      </c>
      <c r="C499">
        <v>13752</v>
      </c>
      <c r="D499">
        <v>1091040</v>
      </c>
    </row>
    <row r="500" spans="1:4" x14ac:dyDescent="0.3">
      <c r="A500" s="12">
        <v>43978</v>
      </c>
      <c r="B500" t="s">
        <v>23</v>
      </c>
      <c r="C500">
        <v>15276</v>
      </c>
      <c r="D500">
        <v>1350199.5</v>
      </c>
    </row>
    <row r="501" spans="1:4" x14ac:dyDescent="0.3">
      <c r="A501" s="12">
        <v>43983</v>
      </c>
      <c r="B501" t="s">
        <v>26</v>
      </c>
      <c r="C501">
        <v>4408.5</v>
      </c>
      <c r="D501">
        <v>410892</v>
      </c>
    </row>
    <row r="502" spans="1:4" x14ac:dyDescent="0.3">
      <c r="A502" s="12">
        <v>43980</v>
      </c>
      <c r="B502" t="s">
        <v>24</v>
      </c>
      <c r="C502">
        <v>9927</v>
      </c>
      <c r="D502">
        <v>850840.5</v>
      </c>
    </row>
    <row r="503" spans="1:4" x14ac:dyDescent="0.3">
      <c r="A503" s="12">
        <v>43983</v>
      </c>
      <c r="B503" t="s">
        <v>24</v>
      </c>
      <c r="C503">
        <v>9474</v>
      </c>
      <c r="D503">
        <v>802447.5</v>
      </c>
    </row>
    <row r="504" spans="1:4" x14ac:dyDescent="0.3">
      <c r="A504" s="12">
        <v>43980</v>
      </c>
      <c r="B504" t="s">
        <v>23</v>
      </c>
      <c r="C504">
        <v>16878</v>
      </c>
      <c r="D504">
        <v>1438255.5</v>
      </c>
    </row>
    <row r="505" spans="1:4" x14ac:dyDescent="0.3">
      <c r="A505" s="12">
        <v>43983</v>
      </c>
      <c r="B505" t="s">
        <v>23</v>
      </c>
      <c r="C505">
        <v>14238</v>
      </c>
      <c r="D505">
        <v>1293219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15" sqref="C1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77734375" customWidth="1"/>
    <col min="4" max="4" width="22.109375" customWidth="1"/>
    <col min="5" max="5" width="25.44140625" customWidth="1"/>
    <col min="6" max="26" width="8.7773437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83C5-DB8E-431D-9499-954EE0459CE7}">
  <dimension ref="A1:E505"/>
  <sheetViews>
    <sheetView workbookViewId="0"/>
  </sheetViews>
  <sheetFormatPr defaultRowHeight="14.4" x14ac:dyDescent="0.3"/>
  <cols>
    <col min="1" max="1" width="14.77734375" bestFit="1" customWidth="1"/>
    <col min="2" max="2" width="19.6640625" bestFit="1" customWidth="1"/>
    <col min="3" max="3" width="20" bestFit="1" customWidth="1"/>
    <col min="4" max="4" width="19.5546875" bestFit="1" customWidth="1"/>
    <col min="5" max="5" width="21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12">
        <v>43949</v>
      </c>
      <c r="B2" t="s">
        <v>16</v>
      </c>
      <c r="C2">
        <v>36</v>
      </c>
      <c r="D2">
        <v>4923</v>
      </c>
      <c r="E2">
        <v>4560</v>
      </c>
    </row>
    <row r="3" spans="1:5" x14ac:dyDescent="0.3">
      <c r="A3" s="12">
        <v>43949</v>
      </c>
      <c r="B3" t="s">
        <v>11</v>
      </c>
      <c r="C3">
        <v>31</v>
      </c>
      <c r="D3">
        <v>5465</v>
      </c>
      <c r="E3">
        <v>5096</v>
      </c>
    </row>
    <row r="4" spans="1:5" x14ac:dyDescent="0.3">
      <c r="A4" s="12">
        <v>43949</v>
      </c>
      <c r="B4" t="s">
        <v>17</v>
      </c>
      <c r="C4">
        <v>19</v>
      </c>
      <c r="D4">
        <v>1846</v>
      </c>
      <c r="E4">
        <v>1681</v>
      </c>
    </row>
    <row r="5" spans="1:5" x14ac:dyDescent="0.3">
      <c r="A5" s="12">
        <v>43949</v>
      </c>
      <c r="B5" t="s">
        <v>10</v>
      </c>
      <c r="C5">
        <v>18</v>
      </c>
      <c r="D5">
        <v>1539</v>
      </c>
      <c r="E5">
        <v>1404</v>
      </c>
    </row>
    <row r="6" spans="1:5" x14ac:dyDescent="0.3">
      <c r="A6" s="12">
        <v>43949</v>
      </c>
      <c r="B6" t="s">
        <v>20</v>
      </c>
      <c r="C6">
        <v>18</v>
      </c>
      <c r="D6">
        <v>1505</v>
      </c>
      <c r="E6">
        <v>1368</v>
      </c>
    </row>
    <row r="7" spans="1:5" x14ac:dyDescent="0.3">
      <c r="A7" s="12">
        <v>43949</v>
      </c>
      <c r="B7" t="s">
        <v>22</v>
      </c>
      <c r="C7">
        <v>54</v>
      </c>
      <c r="D7">
        <v>12306</v>
      </c>
      <c r="E7">
        <v>11532</v>
      </c>
    </row>
    <row r="8" spans="1:5" x14ac:dyDescent="0.3">
      <c r="A8" s="12">
        <v>43949</v>
      </c>
      <c r="B8" t="s">
        <v>21</v>
      </c>
      <c r="C8">
        <v>59</v>
      </c>
      <c r="D8">
        <v>12943</v>
      </c>
      <c r="E8">
        <v>12072</v>
      </c>
    </row>
    <row r="9" spans="1:5" x14ac:dyDescent="0.3">
      <c r="A9" s="12">
        <v>43949</v>
      </c>
      <c r="B9" t="s">
        <v>13</v>
      </c>
      <c r="C9">
        <v>17</v>
      </c>
      <c r="D9">
        <v>1439</v>
      </c>
      <c r="E9">
        <v>1265</v>
      </c>
    </row>
    <row r="10" spans="1:5" x14ac:dyDescent="0.3">
      <c r="A10" s="12">
        <v>43949</v>
      </c>
      <c r="B10" t="s">
        <v>23</v>
      </c>
      <c r="C10">
        <v>15</v>
      </c>
      <c r="D10">
        <v>636</v>
      </c>
      <c r="E10">
        <v>547</v>
      </c>
    </row>
    <row r="11" spans="1:5" x14ac:dyDescent="0.3">
      <c r="A11" s="12">
        <v>43949</v>
      </c>
      <c r="B11" t="s">
        <v>18</v>
      </c>
      <c r="C11">
        <v>15</v>
      </c>
      <c r="D11">
        <v>780</v>
      </c>
      <c r="E11">
        <v>690</v>
      </c>
    </row>
    <row r="12" spans="1:5" x14ac:dyDescent="0.3">
      <c r="A12" s="12">
        <v>43949</v>
      </c>
      <c r="B12" t="s">
        <v>15</v>
      </c>
      <c r="C12">
        <v>125</v>
      </c>
      <c r="D12">
        <v>20914</v>
      </c>
      <c r="E12">
        <v>19479</v>
      </c>
    </row>
    <row r="13" spans="1:5" x14ac:dyDescent="0.3">
      <c r="A13" s="12">
        <v>43949</v>
      </c>
      <c r="B13" t="s">
        <v>14</v>
      </c>
      <c r="C13">
        <v>128</v>
      </c>
      <c r="D13">
        <v>16450</v>
      </c>
      <c r="E13">
        <v>15320</v>
      </c>
    </row>
    <row r="14" spans="1:5" x14ac:dyDescent="0.3">
      <c r="A14" s="12">
        <v>43949</v>
      </c>
      <c r="B14" t="s">
        <v>12</v>
      </c>
      <c r="C14">
        <v>10</v>
      </c>
      <c r="D14">
        <v>580</v>
      </c>
      <c r="E14">
        <v>506</v>
      </c>
    </row>
    <row r="15" spans="1:5" x14ac:dyDescent="0.3">
      <c r="A15" s="12">
        <v>43950</v>
      </c>
      <c r="B15" t="s">
        <v>16</v>
      </c>
      <c r="C15">
        <v>36</v>
      </c>
      <c r="D15">
        <v>4937</v>
      </c>
      <c r="E15">
        <v>4561</v>
      </c>
    </row>
    <row r="16" spans="1:5" x14ac:dyDescent="0.3">
      <c r="A16" s="12">
        <v>43950</v>
      </c>
      <c r="B16" t="s">
        <v>11</v>
      </c>
      <c r="C16">
        <v>31</v>
      </c>
      <c r="D16">
        <v>5378</v>
      </c>
      <c r="E16">
        <v>4985</v>
      </c>
    </row>
    <row r="17" spans="1:5" x14ac:dyDescent="0.3">
      <c r="A17" s="12">
        <v>43950</v>
      </c>
      <c r="B17" t="s">
        <v>17</v>
      </c>
      <c r="C17">
        <v>19</v>
      </c>
      <c r="D17">
        <v>1676</v>
      </c>
      <c r="E17">
        <v>1516</v>
      </c>
    </row>
    <row r="18" spans="1:5" x14ac:dyDescent="0.3">
      <c r="A18" s="12">
        <v>43950</v>
      </c>
      <c r="B18" t="s">
        <v>10</v>
      </c>
      <c r="C18">
        <v>18</v>
      </c>
      <c r="D18">
        <v>1684</v>
      </c>
      <c r="E18">
        <v>1528</v>
      </c>
    </row>
    <row r="19" spans="1:5" x14ac:dyDescent="0.3">
      <c r="A19" s="12">
        <v>43950</v>
      </c>
      <c r="B19" t="s">
        <v>20</v>
      </c>
      <c r="C19">
        <v>18</v>
      </c>
      <c r="D19">
        <v>1599</v>
      </c>
      <c r="E19">
        <v>1450</v>
      </c>
    </row>
    <row r="20" spans="1:5" x14ac:dyDescent="0.3">
      <c r="A20" s="12">
        <v>43950</v>
      </c>
      <c r="B20" t="s">
        <v>22</v>
      </c>
      <c r="C20">
        <v>54</v>
      </c>
      <c r="D20">
        <v>12747</v>
      </c>
      <c r="E20">
        <v>11884</v>
      </c>
    </row>
    <row r="21" spans="1:5" x14ac:dyDescent="0.3">
      <c r="A21" s="12">
        <v>43950</v>
      </c>
      <c r="B21" t="s">
        <v>21</v>
      </c>
      <c r="C21">
        <v>59</v>
      </c>
      <c r="D21">
        <v>13186</v>
      </c>
      <c r="E21">
        <v>12251</v>
      </c>
    </row>
    <row r="22" spans="1:5" x14ac:dyDescent="0.3">
      <c r="A22" s="12">
        <v>43950</v>
      </c>
      <c r="B22" t="s">
        <v>13</v>
      </c>
      <c r="C22">
        <v>18</v>
      </c>
      <c r="D22">
        <v>1534</v>
      </c>
      <c r="E22">
        <v>1369</v>
      </c>
    </row>
    <row r="23" spans="1:5" x14ac:dyDescent="0.3">
      <c r="A23" s="12">
        <v>43950</v>
      </c>
      <c r="B23" t="s">
        <v>23</v>
      </c>
      <c r="C23">
        <v>15</v>
      </c>
      <c r="D23">
        <v>659</v>
      </c>
      <c r="E23">
        <v>575</v>
      </c>
    </row>
    <row r="24" spans="1:5" x14ac:dyDescent="0.3">
      <c r="A24" s="12">
        <v>43950</v>
      </c>
      <c r="B24" t="s">
        <v>18</v>
      </c>
      <c r="C24">
        <v>15</v>
      </c>
      <c r="D24">
        <v>786</v>
      </c>
      <c r="E24">
        <v>695</v>
      </c>
    </row>
    <row r="25" spans="1:5" x14ac:dyDescent="0.3">
      <c r="A25" s="12">
        <v>43950</v>
      </c>
      <c r="B25" t="s">
        <v>15</v>
      </c>
      <c r="C25">
        <v>125</v>
      </c>
      <c r="D25">
        <v>21863</v>
      </c>
      <c r="E25">
        <v>20160</v>
      </c>
    </row>
    <row r="26" spans="1:5" x14ac:dyDescent="0.3">
      <c r="A26" s="12">
        <v>43950</v>
      </c>
      <c r="B26" t="s">
        <v>14</v>
      </c>
      <c r="C26">
        <v>128</v>
      </c>
      <c r="D26">
        <v>17368</v>
      </c>
      <c r="E26">
        <v>16077</v>
      </c>
    </row>
    <row r="27" spans="1:5" x14ac:dyDescent="0.3">
      <c r="A27" s="12">
        <v>43950</v>
      </c>
      <c r="B27" t="s">
        <v>12</v>
      </c>
      <c r="C27">
        <v>10</v>
      </c>
      <c r="D27">
        <v>502</v>
      </c>
      <c r="E27">
        <v>433</v>
      </c>
    </row>
    <row r="28" spans="1:5" x14ac:dyDescent="0.3">
      <c r="A28" s="12">
        <v>43951</v>
      </c>
      <c r="B28" t="s">
        <v>16</v>
      </c>
      <c r="C28">
        <v>36</v>
      </c>
      <c r="D28">
        <v>5143</v>
      </c>
      <c r="E28">
        <v>4715</v>
      </c>
    </row>
    <row r="29" spans="1:5" x14ac:dyDescent="0.3">
      <c r="A29" s="12">
        <v>43951</v>
      </c>
      <c r="B29" t="s">
        <v>11</v>
      </c>
      <c r="C29">
        <v>31</v>
      </c>
      <c r="D29">
        <v>5120</v>
      </c>
      <c r="E29">
        <v>4737</v>
      </c>
    </row>
    <row r="30" spans="1:5" x14ac:dyDescent="0.3">
      <c r="A30" s="12">
        <v>43951</v>
      </c>
      <c r="B30" t="s">
        <v>17</v>
      </c>
      <c r="C30">
        <v>20</v>
      </c>
      <c r="D30">
        <v>1756</v>
      </c>
      <c r="E30">
        <v>1586</v>
      </c>
    </row>
    <row r="31" spans="1:5" x14ac:dyDescent="0.3">
      <c r="A31" s="12">
        <v>43951</v>
      </c>
      <c r="B31" t="s">
        <v>10</v>
      </c>
      <c r="C31">
        <v>19</v>
      </c>
      <c r="D31">
        <v>1712</v>
      </c>
      <c r="E31">
        <v>1552</v>
      </c>
    </row>
    <row r="32" spans="1:5" x14ac:dyDescent="0.3">
      <c r="A32" s="12">
        <v>43951</v>
      </c>
      <c r="B32" t="s">
        <v>20</v>
      </c>
      <c r="C32">
        <v>19</v>
      </c>
      <c r="D32">
        <v>1662</v>
      </c>
      <c r="E32">
        <v>1506</v>
      </c>
    </row>
    <row r="33" spans="1:5" x14ac:dyDescent="0.3">
      <c r="A33" s="12">
        <v>43951</v>
      </c>
      <c r="B33" t="s">
        <v>22</v>
      </c>
      <c r="C33">
        <v>54</v>
      </c>
      <c r="D33">
        <v>12817</v>
      </c>
      <c r="E33">
        <v>11865</v>
      </c>
    </row>
    <row r="34" spans="1:5" x14ac:dyDescent="0.3">
      <c r="A34" s="12">
        <v>43951</v>
      </c>
      <c r="B34" t="s">
        <v>21</v>
      </c>
      <c r="C34">
        <v>59</v>
      </c>
      <c r="D34">
        <v>13251</v>
      </c>
      <c r="E34">
        <v>12255</v>
      </c>
    </row>
    <row r="35" spans="1:5" x14ac:dyDescent="0.3">
      <c r="A35" s="12">
        <v>43951</v>
      </c>
      <c r="B35" t="s">
        <v>13</v>
      </c>
      <c r="C35">
        <v>19</v>
      </c>
      <c r="D35">
        <v>1499</v>
      </c>
      <c r="E35">
        <v>1322</v>
      </c>
    </row>
    <row r="36" spans="1:5" x14ac:dyDescent="0.3">
      <c r="A36" s="12">
        <v>43951</v>
      </c>
      <c r="B36" t="s">
        <v>23</v>
      </c>
      <c r="C36">
        <v>15</v>
      </c>
      <c r="D36">
        <v>644</v>
      </c>
      <c r="E36">
        <v>550</v>
      </c>
    </row>
    <row r="37" spans="1:5" x14ac:dyDescent="0.3">
      <c r="A37" s="12">
        <v>43951</v>
      </c>
      <c r="B37" t="s">
        <v>18</v>
      </c>
      <c r="C37">
        <v>15</v>
      </c>
      <c r="D37">
        <v>791</v>
      </c>
      <c r="E37">
        <v>691</v>
      </c>
    </row>
    <row r="38" spans="1:5" x14ac:dyDescent="0.3">
      <c r="A38" s="12">
        <v>43951</v>
      </c>
      <c r="B38" t="s">
        <v>19</v>
      </c>
      <c r="C38">
        <v>15</v>
      </c>
      <c r="D38">
        <v>262</v>
      </c>
      <c r="E38">
        <v>195</v>
      </c>
    </row>
    <row r="39" spans="1:5" x14ac:dyDescent="0.3">
      <c r="A39" s="12">
        <v>43951</v>
      </c>
      <c r="B39" t="s">
        <v>15</v>
      </c>
      <c r="C39">
        <v>125</v>
      </c>
      <c r="D39">
        <v>22368</v>
      </c>
      <c r="E39">
        <v>20625</v>
      </c>
    </row>
    <row r="40" spans="1:5" x14ac:dyDescent="0.3">
      <c r="A40" s="12">
        <v>43951</v>
      </c>
      <c r="B40" t="s">
        <v>14</v>
      </c>
      <c r="C40">
        <v>129</v>
      </c>
      <c r="D40">
        <v>18042</v>
      </c>
      <c r="E40">
        <v>16631</v>
      </c>
    </row>
    <row r="41" spans="1:5" x14ac:dyDescent="0.3">
      <c r="A41" s="12">
        <v>43951</v>
      </c>
      <c r="B41" t="s">
        <v>12</v>
      </c>
      <c r="C41">
        <v>10</v>
      </c>
      <c r="D41">
        <v>448</v>
      </c>
      <c r="E41">
        <v>376</v>
      </c>
    </row>
    <row r="42" spans="1:5" x14ac:dyDescent="0.3">
      <c r="A42" s="12">
        <v>43952</v>
      </c>
      <c r="B42" t="s">
        <v>16</v>
      </c>
      <c r="C42">
        <v>36</v>
      </c>
      <c r="D42">
        <v>5457</v>
      </c>
      <c r="E42">
        <v>4916</v>
      </c>
    </row>
    <row r="43" spans="1:5" x14ac:dyDescent="0.3">
      <c r="A43" s="12">
        <v>43952</v>
      </c>
      <c r="B43" t="s">
        <v>11</v>
      </c>
      <c r="C43">
        <v>31</v>
      </c>
      <c r="D43">
        <v>6118</v>
      </c>
      <c r="E43">
        <v>5564</v>
      </c>
    </row>
    <row r="44" spans="1:5" x14ac:dyDescent="0.3">
      <c r="A44" s="12">
        <v>43952</v>
      </c>
      <c r="B44" t="s">
        <v>17</v>
      </c>
      <c r="C44">
        <v>20</v>
      </c>
      <c r="D44">
        <v>2468</v>
      </c>
      <c r="E44">
        <v>2221</v>
      </c>
    </row>
    <row r="45" spans="1:5" x14ac:dyDescent="0.3">
      <c r="A45" s="12">
        <v>43952</v>
      </c>
      <c r="B45" t="s">
        <v>10</v>
      </c>
      <c r="C45">
        <v>18</v>
      </c>
      <c r="D45">
        <v>1826</v>
      </c>
      <c r="E45">
        <v>1633</v>
      </c>
    </row>
    <row r="46" spans="1:5" x14ac:dyDescent="0.3">
      <c r="A46" s="12">
        <v>43952</v>
      </c>
      <c r="B46" t="s">
        <v>20</v>
      </c>
      <c r="C46">
        <v>19</v>
      </c>
      <c r="D46">
        <v>1987</v>
      </c>
      <c r="E46">
        <v>1791</v>
      </c>
    </row>
    <row r="47" spans="1:5" x14ac:dyDescent="0.3">
      <c r="A47" s="12">
        <v>43952</v>
      </c>
      <c r="B47" t="s">
        <v>22</v>
      </c>
      <c r="C47">
        <v>54</v>
      </c>
      <c r="D47">
        <v>14205</v>
      </c>
      <c r="E47">
        <v>13026</v>
      </c>
    </row>
    <row r="48" spans="1:5" x14ac:dyDescent="0.3">
      <c r="A48" s="12">
        <v>43952</v>
      </c>
      <c r="B48" t="s">
        <v>21</v>
      </c>
      <c r="C48">
        <v>59</v>
      </c>
      <c r="D48">
        <v>15222</v>
      </c>
      <c r="E48">
        <v>13873</v>
      </c>
    </row>
    <row r="49" spans="1:5" x14ac:dyDescent="0.3">
      <c r="A49" s="12">
        <v>43952</v>
      </c>
      <c r="B49" t="s">
        <v>13</v>
      </c>
      <c r="C49">
        <v>19</v>
      </c>
      <c r="D49">
        <v>1497</v>
      </c>
      <c r="E49">
        <v>1291</v>
      </c>
    </row>
    <row r="50" spans="1:5" x14ac:dyDescent="0.3">
      <c r="A50" s="12">
        <v>43952</v>
      </c>
      <c r="B50" t="s">
        <v>23</v>
      </c>
      <c r="C50">
        <v>15</v>
      </c>
      <c r="D50">
        <v>721</v>
      </c>
      <c r="E50">
        <v>625</v>
      </c>
    </row>
    <row r="51" spans="1:5" x14ac:dyDescent="0.3">
      <c r="A51" s="12">
        <v>43952</v>
      </c>
      <c r="B51" t="s">
        <v>18</v>
      </c>
      <c r="C51">
        <v>15</v>
      </c>
      <c r="D51">
        <v>996</v>
      </c>
      <c r="E51">
        <v>888</v>
      </c>
    </row>
    <row r="52" spans="1:5" x14ac:dyDescent="0.3">
      <c r="A52" s="12">
        <v>43952</v>
      </c>
      <c r="B52" t="s">
        <v>19</v>
      </c>
      <c r="C52">
        <v>15</v>
      </c>
      <c r="D52">
        <v>294</v>
      </c>
      <c r="E52">
        <v>225</v>
      </c>
    </row>
    <row r="53" spans="1:5" x14ac:dyDescent="0.3">
      <c r="A53" s="12">
        <v>43952</v>
      </c>
      <c r="B53" t="s">
        <v>15</v>
      </c>
      <c r="C53">
        <v>125</v>
      </c>
      <c r="D53">
        <v>20602</v>
      </c>
      <c r="E53">
        <v>18845</v>
      </c>
    </row>
    <row r="54" spans="1:5" x14ac:dyDescent="0.3">
      <c r="A54" s="12">
        <v>43952</v>
      </c>
      <c r="B54" t="s">
        <v>14</v>
      </c>
      <c r="C54">
        <v>129</v>
      </c>
      <c r="D54">
        <v>17002</v>
      </c>
      <c r="E54">
        <v>15570</v>
      </c>
    </row>
    <row r="55" spans="1:5" x14ac:dyDescent="0.3">
      <c r="A55" s="12">
        <v>43952</v>
      </c>
      <c r="B55" t="s">
        <v>12</v>
      </c>
      <c r="C55">
        <v>10</v>
      </c>
      <c r="D55">
        <v>554</v>
      </c>
      <c r="E55">
        <v>472</v>
      </c>
    </row>
    <row r="56" spans="1:5" x14ac:dyDescent="0.3">
      <c r="A56" s="12">
        <v>43953</v>
      </c>
      <c r="B56" t="s">
        <v>16</v>
      </c>
      <c r="C56">
        <v>36</v>
      </c>
      <c r="D56">
        <v>3442</v>
      </c>
      <c r="E56">
        <v>3147</v>
      </c>
    </row>
    <row r="57" spans="1:5" x14ac:dyDescent="0.3">
      <c r="A57" s="12">
        <v>43953</v>
      </c>
      <c r="B57" t="s">
        <v>11</v>
      </c>
      <c r="C57">
        <v>31</v>
      </c>
      <c r="D57">
        <v>4157</v>
      </c>
      <c r="E57">
        <v>3823</v>
      </c>
    </row>
    <row r="58" spans="1:5" x14ac:dyDescent="0.3">
      <c r="A58" s="12">
        <v>43953</v>
      </c>
      <c r="B58" t="s">
        <v>17</v>
      </c>
      <c r="C58">
        <v>20</v>
      </c>
      <c r="D58">
        <v>1613</v>
      </c>
      <c r="E58">
        <v>1457</v>
      </c>
    </row>
    <row r="59" spans="1:5" x14ac:dyDescent="0.3">
      <c r="A59" s="12">
        <v>43953</v>
      </c>
      <c r="B59" t="s">
        <v>10</v>
      </c>
      <c r="C59">
        <v>18</v>
      </c>
      <c r="D59">
        <v>1708</v>
      </c>
      <c r="E59">
        <v>1534</v>
      </c>
    </row>
    <row r="60" spans="1:5" x14ac:dyDescent="0.3">
      <c r="A60" s="12">
        <v>43953</v>
      </c>
      <c r="B60" t="s">
        <v>20</v>
      </c>
      <c r="C60">
        <v>19</v>
      </c>
      <c r="D60">
        <v>1206</v>
      </c>
      <c r="E60">
        <v>1080</v>
      </c>
    </row>
    <row r="61" spans="1:5" x14ac:dyDescent="0.3">
      <c r="A61" s="12">
        <v>43953</v>
      </c>
      <c r="B61" t="s">
        <v>22</v>
      </c>
      <c r="C61">
        <v>54</v>
      </c>
      <c r="D61">
        <v>11622</v>
      </c>
      <c r="E61">
        <v>10754</v>
      </c>
    </row>
    <row r="62" spans="1:5" x14ac:dyDescent="0.3">
      <c r="A62" s="12">
        <v>43953</v>
      </c>
      <c r="B62" t="s">
        <v>21</v>
      </c>
      <c r="C62">
        <v>59</v>
      </c>
      <c r="D62">
        <v>12429</v>
      </c>
      <c r="E62">
        <v>11477</v>
      </c>
    </row>
    <row r="63" spans="1:5" x14ac:dyDescent="0.3">
      <c r="A63" s="12">
        <v>43953</v>
      </c>
      <c r="B63" t="s">
        <v>13</v>
      </c>
      <c r="C63">
        <v>19</v>
      </c>
      <c r="D63">
        <v>1217</v>
      </c>
      <c r="E63">
        <v>1048</v>
      </c>
    </row>
    <row r="64" spans="1:5" x14ac:dyDescent="0.3">
      <c r="A64" s="12">
        <v>43953</v>
      </c>
      <c r="B64" t="s">
        <v>23</v>
      </c>
      <c r="C64">
        <v>15</v>
      </c>
      <c r="D64">
        <v>567</v>
      </c>
      <c r="E64">
        <v>493</v>
      </c>
    </row>
    <row r="65" spans="1:5" x14ac:dyDescent="0.3">
      <c r="A65" s="12">
        <v>43953</v>
      </c>
      <c r="B65" t="s">
        <v>18</v>
      </c>
      <c r="C65">
        <v>15</v>
      </c>
      <c r="D65">
        <v>751</v>
      </c>
      <c r="E65">
        <v>651</v>
      </c>
    </row>
    <row r="66" spans="1:5" x14ac:dyDescent="0.3">
      <c r="A66" s="12">
        <v>43953</v>
      </c>
      <c r="B66" t="s">
        <v>19</v>
      </c>
      <c r="C66">
        <v>15</v>
      </c>
      <c r="D66">
        <v>274</v>
      </c>
      <c r="E66">
        <v>203</v>
      </c>
    </row>
    <row r="67" spans="1:5" x14ac:dyDescent="0.3">
      <c r="A67" s="12">
        <v>43953</v>
      </c>
      <c r="B67" t="s">
        <v>15</v>
      </c>
      <c r="C67">
        <v>125</v>
      </c>
      <c r="D67">
        <v>16932</v>
      </c>
      <c r="E67">
        <v>15601</v>
      </c>
    </row>
    <row r="68" spans="1:5" x14ac:dyDescent="0.3">
      <c r="A68" s="12">
        <v>43953</v>
      </c>
      <c r="B68" t="s">
        <v>14</v>
      </c>
      <c r="C68">
        <v>129</v>
      </c>
      <c r="D68">
        <v>14009</v>
      </c>
      <c r="E68">
        <v>12920</v>
      </c>
    </row>
    <row r="69" spans="1:5" x14ac:dyDescent="0.3">
      <c r="A69" s="12">
        <v>43953</v>
      </c>
      <c r="B69" t="s">
        <v>12</v>
      </c>
      <c r="C69">
        <v>10</v>
      </c>
      <c r="D69">
        <v>416</v>
      </c>
      <c r="E69">
        <v>341</v>
      </c>
    </row>
    <row r="70" spans="1:5" x14ac:dyDescent="0.3">
      <c r="A70" s="12">
        <v>43954</v>
      </c>
      <c r="B70" t="s">
        <v>16</v>
      </c>
      <c r="C70">
        <v>36</v>
      </c>
      <c r="D70">
        <v>4751</v>
      </c>
      <c r="E70">
        <v>4370</v>
      </c>
    </row>
    <row r="71" spans="1:5" x14ac:dyDescent="0.3">
      <c r="A71" s="12">
        <v>43954</v>
      </c>
      <c r="B71" t="s">
        <v>11</v>
      </c>
      <c r="C71">
        <v>31</v>
      </c>
      <c r="D71">
        <v>5155</v>
      </c>
      <c r="E71">
        <v>4762</v>
      </c>
    </row>
    <row r="72" spans="1:5" x14ac:dyDescent="0.3">
      <c r="A72" s="12">
        <v>43954</v>
      </c>
      <c r="B72" t="s">
        <v>17</v>
      </c>
      <c r="C72">
        <v>20</v>
      </c>
      <c r="D72">
        <v>1716</v>
      </c>
      <c r="E72">
        <v>1561</v>
      </c>
    </row>
    <row r="73" spans="1:5" x14ac:dyDescent="0.3">
      <c r="A73" s="12">
        <v>43954</v>
      </c>
      <c r="B73" t="s">
        <v>10</v>
      </c>
      <c r="C73">
        <v>20</v>
      </c>
      <c r="D73">
        <v>1520</v>
      </c>
      <c r="E73">
        <v>1373</v>
      </c>
    </row>
    <row r="74" spans="1:5" x14ac:dyDescent="0.3">
      <c r="A74" s="12">
        <v>43954</v>
      </c>
      <c r="B74" t="s">
        <v>20</v>
      </c>
      <c r="C74">
        <v>19</v>
      </c>
      <c r="D74">
        <v>1314</v>
      </c>
      <c r="E74">
        <v>1192</v>
      </c>
    </row>
    <row r="75" spans="1:5" x14ac:dyDescent="0.3">
      <c r="A75" s="12">
        <v>43954</v>
      </c>
      <c r="B75" t="s">
        <v>22</v>
      </c>
      <c r="C75">
        <v>54</v>
      </c>
      <c r="D75">
        <v>14823</v>
      </c>
      <c r="E75">
        <v>13751</v>
      </c>
    </row>
    <row r="76" spans="1:5" x14ac:dyDescent="0.3">
      <c r="A76" s="12">
        <v>43954</v>
      </c>
      <c r="B76" t="s">
        <v>21</v>
      </c>
      <c r="C76">
        <v>59</v>
      </c>
      <c r="D76">
        <v>15277</v>
      </c>
      <c r="E76">
        <v>14163</v>
      </c>
    </row>
    <row r="77" spans="1:5" x14ac:dyDescent="0.3">
      <c r="A77" s="12">
        <v>43954</v>
      </c>
      <c r="B77" t="s">
        <v>13</v>
      </c>
      <c r="C77">
        <v>19</v>
      </c>
      <c r="D77">
        <v>1402</v>
      </c>
      <c r="E77">
        <v>1234</v>
      </c>
    </row>
    <row r="78" spans="1:5" x14ac:dyDescent="0.3">
      <c r="A78" s="12">
        <v>43954</v>
      </c>
      <c r="B78" t="s">
        <v>23</v>
      </c>
      <c r="C78">
        <v>15</v>
      </c>
      <c r="D78">
        <v>585</v>
      </c>
      <c r="E78">
        <v>502</v>
      </c>
    </row>
    <row r="79" spans="1:5" x14ac:dyDescent="0.3">
      <c r="A79" s="12">
        <v>43954</v>
      </c>
      <c r="B79" t="s">
        <v>18</v>
      </c>
      <c r="C79">
        <v>15</v>
      </c>
      <c r="D79">
        <v>784</v>
      </c>
      <c r="E79">
        <v>696</v>
      </c>
    </row>
    <row r="80" spans="1:5" x14ac:dyDescent="0.3">
      <c r="A80" s="12">
        <v>43954</v>
      </c>
      <c r="B80" t="s">
        <v>19</v>
      </c>
      <c r="C80">
        <v>15</v>
      </c>
      <c r="D80">
        <v>455</v>
      </c>
      <c r="E80">
        <v>384</v>
      </c>
    </row>
    <row r="81" spans="1:5" x14ac:dyDescent="0.3">
      <c r="A81" s="12">
        <v>43954</v>
      </c>
      <c r="B81" t="s">
        <v>15</v>
      </c>
      <c r="C81">
        <v>125</v>
      </c>
      <c r="D81">
        <v>18861</v>
      </c>
      <c r="E81">
        <v>17420</v>
      </c>
    </row>
    <row r="82" spans="1:5" x14ac:dyDescent="0.3">
      <c r="A82" s="12">
        <v>43954</v>
      </c>
      <c r="B82" t="s">
        <v>14</v>
      </c>
      <c r="C82">
        <v>129</v>
      </c>
      <c r="D82">
        <v>15778</v>
      </c>
      <c r="E82">
        <v>14624</v>
      </c>
    </row>
    <row r="83" spans="1:5" x14ac:dyDescent="0.3">
      <c r="A83" s="12">
        <v>43954</v>
      </c>
      <c r="B83" t="s">
        <v>12</v>
      </c>
      <c r="C83">
        <v>10</v>
      </c>
      <c r="D83">
        <v>402</v>
      </c>
      <c r="E83">
        <v>333</v>
      </c>
    </row>
    <row r="84" spans="1:5" x14ac:dyDescent="0.3">
      <c r="A84" s="12">
        <v>43955</v>
      </c>
      <c r="B84" t="s">
        <v>16</v>
      </c>
      <c r="C84">
        <v>36</v>
      </c>
      <c r="D84">
        <v>4508</v>
      </c>
      <c r="E84">
        <v>4149</v>
      </c>
    </row>
    <row r="85" spans="1:5" x14ac:dyDescent="0.3">
      <c r="A85" s="12">
        <v>43955</v>
      </c>
      <c r="B85" t="s">
        <v>11</v>
      </c>
      <c r="C85">
        <v>31</v>
      </c>
      <c r="D85">
        <v>4968</v>
      </c>
      <c r="E85">
        <v>4596</v>
      </c>
    </row>
    <row r="86" spans="1:5" x14ac:dyDescent="0.3">
      <c r="A86" s="12">
        <v>43955</v>
      </c>
      <c r="B86" t="s">
        <v>17</v>
      </c>
      <c r="C86">
        <v>20</v>
      </c>
      <c r="D86">
        <v>1804</v>
      </c>
      <c r="E86">
        <v>1638</v>
      </c>
    </row>
    <row r="87" spans="1:5" x14ac:dyDescent="0.3">
      <c r="A87" s="12">
        <v>43955</v>
      </c>
      <c r="B87" t="s">
        <v>10</v>
      </c>
      <c r="C87">
        <v>20</v>
      </c>
      <c r="D87">
        <v>1519</v>
      </c>
      <c r="E87">
        <v>1372</v>
      </c>
    </row>
    <row r="88" spans="1:5" x14ac:dyDescent="0.3">
      <c r="A88" s="12">
        <v>43955</v>
      </c>
      <c r="B88" t="s">
        <v>20</v>
      </c>
      <c r="C88">
        <v>19</v>
      </c>
      <c r="D88">
        <v>1479</v>
      </c>
      <c r="E88">
        <v>1346</v>
      </c>
    </row>
    <row r="89" spans="1:5" x14ac:dyDescent="0.3">
      <c r="A89" s="12">
        <v>43955</v>
      </c>
      <c r="B89" t="s">
        <v>22</v>
      </c>
      <c r="C89">
        <v>54</v>
      </c>
      <c r="D89">
        <v>13606</v>
      </c>
      <c r="E89">
        <v>12697</v>
      </c>
    </row>
    <row r="90" spans="1:5" x14ac:dyDescent="0.3">
      <c r="A90" s="12">
        <v>43955</v>
      </c>
      <c r="B90" t="s">
        <v>21</v>
      </c>
      <c r="C90">
        <v>59</v>
      </c>
      <c r="D90">
        <v>14423</v>
      </c>
      <c r="E90">
        <v>13432</v>
      </c>
    </row>
    <row r="91" spans="1:5" x14ac:dyDescent="0.3">
      <c r="A91" s="12">
        <v>43955</v>
      </c>
      <c r="B91" t="s">
        <v>13</v>
      </c>
      <c r="C91">
        <v>19</v>
      </c>
      <c r="D91">
        <v>1582</v>
      </c>
      <c r="E91">
        <v>1403</v>
      </c>
    </row>
    <row r="92" spans="1:5" x14ac:dyDescent="0.3">
      <c r="A92" s="12">
        <v>43955</v>
      </c>
      <c r="B92" t="s">
        <v>23</v>
      </c>
      <c r="C92">
        <v>15</v>
      </c>
      <c r="D92">
        <v>622</v>
      </c>
      <c r="E92">
        <v>538</v>
      </c>
    </row>
    <row r="93" spans="1:5" x14ac:dyDescent="0.3">
      <c r="A93" s="12">
        <v>43955</v>
      </c>
      <c r="B93" t="s">
        <v>18</v>
      </c>
      <c r="C93">
        <v>15</v>
      </c>
      <c r="D93">
        <v>750</v>
      </c>
      <c r="E93">
        <v>647</v>
      </c>
    </row>
    <row r="94" spans="1:5" x14ac:dyDescent="0.3">
      <c r="A94" s="12">
        <v>43955</v>
      </c>
      <c r="B94" t="s">
        <v>19</v>
      </c>
      <c r="C94">
        <v>15</v>
      </c>
      <c r="D94">
        <v>390</v>
      </c>
      <c r="E94">
        <v>315</v>
      </c>
    </row>
    <row r="95" spans="1:5" x14ac:dyDescent="0.3">
      <c r="A95" s="12">
        <v>43955</v>
      </c>
      <c r="B95" t="s">
        <v>15</v>
      </c>
      <c r="C95">
        <v>125</v>
      </c>
      <c r="D95">
        <v>20495</v>
      </c>
      <c r="E95">
        <v>18964</v>
      </c>
    </row>
    <row r="96" spans="1:5" x14ac:dyDescent="0.3">
      <c r="A96" s="12">
        <v>43955</v>
      </c>
      <c r="B96" t="s">
        <v>14</v>
      </c>
      <c r="C96">
        <v>129</v>
      </c>
      <c r="D96">
        <v>16525</v>
      </c>
      <c r="E96">
        <v>15310</v>
      </c>
    </row>
    <row r="97" spans="1:5" x14ac:dyDescent="0.3">
      <c r="A97" s="12">
        <v>43955</v>
      </c>
      <c r="B97" t="s">
        <v>12</v>
      </c>
      <c r="C97">
        <v>10</v>
      </c>
      <c r="D97">
        <v>462</v>
      </c>
      <c r="E97">
        <v>396</v>
      </c>
    </row>
    <row r="98" spans="1:5" x14ac:dyDescent="0.3">
      <c r="A98" s="12">
        <v>43956</v>
      </c>
      <c r="B98" t="s">
        <v>16</v>
      </c>
      <c r="C98">
        <v>36</v>
      </c>
      <c r="D98">
        <v>4575</v>
      </c>
      <c r="E98">
        <v>4206</v>
      </c>
    </row>
    <row r="99" spans="1:5" x14ac:dyDescent="0.3">
      <c r="A99" s="12">
        <v>43956</v>
      </c>
      <c r="B99" t="s">
        <v>11</v>
      </c>
      <c r="C99">
        <v>31</v>
      </c>
      <c r="D99">
        <v>5188</v>
      </c>
      <c r="E99">
        <v>4800</v>
      </c>
    </row>
    <row r="100" spans="1:5" x14ac:dyDescent="0.3">
      <c r="A100" s="12">
        <v>43956</v>
      </c>
      <c r="B100" t="s">
        <v>17</v>
      </c>
      <c r="C100">
        <v>20</v>
      </c>
      <c r="D100">
        <v>1757</v>
      </c>
      <c r="E100">
        <v>1596</v>
      </c>
    </row>
    <row r="101" spans="1:5" x14ac:dyDescent="0.3">
      <c r="A101" s="12">
        <v>43956</v>
      </c>
      <c r="B101" t="s">
        <v>10</v>
      </c>
      <c r="C101">
        <v>20</v>
      </c>
      <c r="D101">
        <v>1773</v>
      </c>
      <c r="E101">
        <v>1604</v>
      </c>
    </row>
    <row r="102" spans="1:5" x14ac:dyDescent="0.3">
      <c r="A102" s="12">
        <v>43956</v>
      </c>
      <c r="B102" t="s">
        <v>20</v>
      </c>
      <c r="C102">
        <v>19</v>
      </c>
      <c r="D102">
        <v>1622</v>
      </c>
      <c r="E102">
        <v>1482</v>
      </c>
    </row>
    <row r="103" spans="1:5" x14ac:dyDescent="0.3">
      <c r="A103" s="12">
        <v>43956</v>
      </c>
      <c r="B103" t="s">
        <v>22</v>
      </c>
      <c r="C103">
        <v>54</v>
      </c>
      <c r="D103">
        <v>12775</v>
      </c>
      <c r="E103">
        <v>11887</v>
      </c>
    </row>
    <row r="104" spans="1:5" x14ac:dyDescent="0.3">
      <c r="A104" s="12">
        <v>43956</v>
      </c>
      <c r="B104" t="s">
        <v>21</v>
      </c>
      <c r="C104">
        <v>59</v>
      </c>
      <c r="D104">
        <v>13469</v>
      </c>
      <c r="E104">
        <v>12486</v>
      </c>
    </row>
    <row r="105" spans="1:5" x14ac:dyDescent="0.3">
      <c r="A105" s="12">
        <v>43956</v>
      </c>
      <c r="B105" t="s">
        <v>13</v>
      </c>
      <c r="C105">
        <v>19</v>
      </c>
      <c r="D105">
        <v>1417</v>
      </c>
      <c r="E105">
        <v>1245</v>
      </c>
    </row>
    <row r="106" spans="1:5" x14ac:dyDescent="0.3">
      <c r="A106" s="12">
        <v>43956</v>
      </c>
      <c r="B106" t="s">
        <v>23</v>
      </c>
      <c r="C106">
        <v>15</v>
      </c>
      <c r="D106">
        <v>750</v>
      </c>
      <c r="E106">
        <v>658</v>
      </c>
    </row>
    <row r="107" spans="1:5" x14ac:dyDescent="0.3">
      <c r="A107" s="12">
        <v>43956</v>
      </c>
      <c r="B107" t="s">
        <v>18</v>
      </c>
      <c r="C107">
        <v>15</v>
      </c>
      <c r="D107">
        <v>922</v>
      </c>
      <c r="E107">
        <v>823</v>
      </c>
    </row>
    <row r="108" spans="1:5" x14ac:dyDescent="0.3">
      <c r="A108" s="12">
        <v>43956</v>
      </c>
      <c r="B108" t="s">
        <v>19</v>
      </c>
      <c r="C108">
        <v>15</v>
      </c>
      <c r="D108">
        <v>455</v>
      </c>
      <c r="E108">
        <v>381</v>
      </c>
    </row>
    <row r="109" spans="1:5" x14ac:dyDescent="0.3">
      <c r="A109" s="12">
        <v>43956</v>
      </c>
      <c r="B109" t="s">
        <v>15</v>
      </c>
      <c r="C109">
        <v>125</v>
      </c>
      <c r="D109">
        <v>18944</v>
      </c>
      <c r="E109">
        <v>17541</v>
      </c>
    </row>
    <row r="110" spans="1:5" x14ac:dyDescent="0.3">
      <c r="A110" s="12">
        <v>43956</v>
      </c>
      <c r="B110" t="s">
        <v>14</v>
      </c>
      <c r="C110">
        <v>129</v>
      </c>
      <c r="D110">
        <v>15665</v>
      </c>
      <c r="E110">
        <v>14501</v>
      </c>
    </row>
    <row r="111" spans="1:5" x14ac:dyDescent="0.3">
      <c r="A111" s="12">
        <v>43956</v>
      </c>
      <c r="B111" t="s">
        <v>12</v>
      </c>
      <c r="C111">
        <v>10</v>
      </c>
      <c r="D111">
        <v>511</v>
      </c>
      <c r="E111">
        <v>437</v>
      </c>
    </row>
    <row r="112" spans="1:5" x14ac:dyDescent="0.3">
      <c r="A112" s="12">
        <v>43957</v>
      </c>
      <c r="B112" t="s">
        <v>16</v>
      </c>
      <c r="C112">
        <v>36</v>
      </c>
      <c r="D112">
        <v>4384</v>
      </c>
      <c r="E112">
        <v>4025</v>
      </c>
    </row>
    <row r="113" spans="1:5" x14ac:dyDescent="0.3">
      <c r="A113" s="12">
        <v>43957</v>
      </c>
      <c r="B113" t="s">
        <v>11</v>
      </c>
      <c r="C113">
        <v>31</v>
      </c>
      <c r="D113">
        <v>4709</v>
      </c>
      <c r="E113">
        <v>4348</v>
      </c>
    </row>
    <row r="114" spans="1:5" x14ac:dyDescent="0.3">
      <c r="A114" s="12">
        <v>43957</v>
      </c>
      <c r="B114" t="s">
        <v>17</v>
      </c>
      <c r="C114">
        <v>20</v>
      </c>
      <c r="D114">
        <v>1747</v>
      </c>
      <c r="E114">
        <v>1570</v>
      </c>
    </row>
    <row r="115" spans="1:5" x14ac:dyDescent="0.3">
      <c r="A115" s="12">
        <v>43957</v>
      </c>
      <c r="B115" t="s">
        <v>10</v>
      </c>
      <c r="C115">
        <v>20</v>
      </c>
      <c r="D115">
        <v>1784</v>
      </c>
      <c r="E115">
        <v>1632</v>
      </c>
    </row>
    <row r="116" spans="1:5" x14ac:dyDescent="0.3">
      <c r="A116" s="12">
        <v>43957</v>
      </c>
      <c r="B116" t="s">
        <v>20</v>
      </c>
      <c r="C116">
        <v>19</v>
      </c>
      <c r="D116">
        <v>1509</v>
      </c>
      <c r="E116">
        <v>1374</v>
      </c>
    </row>
    <row r="117" spans="1:5" x14ac:dyDescent="0.3">
      <c r="A117" s="12">
        <v>43957</v>
      </c>
      <c r="B117" t="s">
        <v>22</v>
      </c>
      <c r="C117">
        <v>54</v>
      </c>
      <c r="D117">
        <v>13406</v>
      </c>
      <c r="E117">
        <v>12518</v>
      </c>
    </row>
    <row r="118" spans="1:5" x14ac:dyDescent="0.3">
      <c r="A118" s="12">
        <v>43957</v>
      </c>
      <c r="B118" t="s">
        <v>21</v>
      </c>
      <c r="C118">
        <v>59</v>
      </c>
      <c r="D118">
        <v>14103</v>
      </c>
      <c r="E118">
        <v>13118</v>
      </c>
    </row>
    <row r="119" spans="1:5" x14ac:dyDescent="0.3">
      <c r="A119" s="12">
        <v>43957</v>
      </c>
      <c r="B119" t="s">
        <v>13</v>
      </c>
      <c r="C119">
        <v>19</v>
      </c>
      <c r="D119">
        <v>1499</v>
      </c>
      <c r="E119">
        <v>1323</v>
      </c>
    </row>
    <row r="120" spans="1:5" x14ac:dyDescent="0.3">
      <c r="A120" s="12">
        <v>43957</v>
      </c>
      <c r="B120" t="s">
        <v>23</v>
      </c>
      <c r="C120">
        <v>15</v>
      </c>
      <c r="D120">
        <v>701</v>
      </c>
      <c r="E120">
        <v>611</v>
      </c>
    </row>
    <row r="121" spans="1:5" x14ac:dyDescent="0.3">
      <c r="A121" s="12">
        <v>43957</v>
      </c>
      <c r="B121" t="s">
        <v>18</v>
      </c>
      <c r="C121">
        <v>15</v>
      </c>
      <c r="D121">
        <v>839</v>
      </c>
      <c r="E121">
        <v>733</v>
      </c>
    </row>
    <row r="122" spans="1:5" x14ac:dyDescent="0.3">
      <c r="A122" s="12">
        <v>43957</v>
      </c>
      <c r="B122" t="s">
        <v>19</v>
      </c>
      <c r="C122">
        <v>15</v>
      </c>
      <c r="D122">
        <v>467</v>
      </c>
      <c r="E122">
        <v>389</v>
      </c>
    </row>
    <row r="123" spans="1:5" x14ac:dyDescent="0.3">
      <c r="A123" s="12">
        <v>43957</v>
      </c>
      <c r="B123" t="s">
        <v>15</v>
      </c>
      <c r="C123">
        <v>125</v>
      </c>
      <c r="D123">
        <v>20218</v>
      </c>
      <c r="E123">
        <v>18647</v>
      </c>
    </row>
    <row r="124" spans="1:5" x14ac:dyDescent="0.3">
      <c r="A124" s="12">
        <v>43957</v>
      </c>
      <c r="B124" t="s">
        <v>14</v>
      </c>
      <c r="C124">
        <v>129</v>
      </c>
      <c r="D124">
        <v>16376</v>
      </c>
      <c r="E124">
        <v>15197</v>
      </c>
    </row>
    <row r="125" spans="1:5" x14ac:dyDescent="0.3">
      <c r="A125" s="12">
        <v>43957</v>
      </c>
      <c r="B125" t="s">
        <v>12</v>
      </c>
      <c r="C125">
        <v>10</v>
      </c>
      <c r="D125">
        <v>465</v>
      </c>
      <c r="E125">
        <v>390</v>
      </c>
    </row>
    <row r="126" spans="1:5" x14ac:dyDescent="0.3">
      <c r="A126" s="12">
        <v>43958</v>
      </c>
      <c r="B126" t="s">
        <v>16</v>
      </c>
      <c r="C126">
        <v>36</v>
      </c>
      <c r="D126">
        <v>4826</v>
      </c>
      <c r="E126">
        <v>4426</v>
      </c>
    </row>
    <row r="127" spans="1:5" x14ac:dyDescent="0.3">
      <c r="A127" s="12">
        <v>43958</v>
      </c>
      <c r="B127" t="s">
        <v>11</v>
      </c>
      <c r="C127">
        <v>31</v>
      </c>
      <c r="D127">
        <v>4903</v>
      </c>
      <c r="E127">
        <v>4527</v>
      </c>
    </row>
    <row r="128" spans="1:5" x14ac:dyDescent="0.3">
      <c r="A128" s="12">
        <v>43958</v>
      </c>
      <c r="B128" t="s">
        <v>17</v>
      </c>
      <c r="C128">
        <v>21</v>
      </c>
      <c r="D128">
        <v>1879</v>
      </c>
      <c r="E128">
        <v>1695</v>
      </c>
    </row>
    <row r="129" spans="1:5" x14ac:dyDescent="0.3">
      <c r="A129" s="12">
        <v>43958</v>
      </c>
      <c r="B129" t="s">
        <v>10</v>
      </c>
      <c r="C129">
        <v>21</v>
      </c>
      <c r="D129">
        <v>1542</v>
      </c>
      <c r="E129">
        <v>1405</v>
      </c>
    </row>
    <row r="130" spans="1:5" x14ac:dyDescent="0.3">
      <c r="A130" s="12">
        <v>43958</v>
      </c>
      <c r="B130" t="s">
        <v>20</v>
      </c>
      <c r="C130">
        <v>19</v>
      </c>
      <c r="D130">
        <v>1580</v>
      </c>
      <c r="E130">
        <v>1435</v>
      </c>
    </row>
    <row r="131" spans="1:5" x14ac:dyDescent="0.3">
      <c r="A131" s="12">
        <v>43958</v>
      </c>
      <c r="B131" t="s">
        <v>22</v>
      </c>
      <c r="C131">
        <v>54</v>
      </c>
      <c r="D131">
        <v>12743</v>
      </c>
      <c r="E131">
        <v>11858</v>
      </c>
    </row>
    <row r="132" spans="1:5" x14ac:dyDescent="0.3">
      <c r="A132" s="12">
        <v>43958</v>
      </c>
      <c r="B132" t="s">
        <v>21</v>
      </c>
      <c r="C132">
        <v>59</v>
      </c>
      <c r="D132">
        <v>13495</v>
      </c>
      <c r="E132">
        <v>12517</v>
      </c>
    </row>
    <row r="133" spans="1:5" x14ac:dyDescent="0.3">
      <c r="A133" s="12">
        <v>43958</v>
      </c>
      <c r="B133" t="s">
        <v>13</v>
      </c>
      <c r="C133">
        <v>19</v>
      </c>
      <c r="D133">
        <v>1530</v>
      </c>
      <c r="E133">
        <v>1338</v>
      </c>
    </row>
    <row r="134" spans="1:5" x14ac:dyDescent="0.3">
      <c r="A134" s="12">
        <v>43958</v>
      </c>
      <c r="B134" t="s">
        <v>23</v>
      </c>
      <c r="C134">
        <v>15</v>
      </c>
      <c r="D134">
        <v>676</v>
      </c>
      <c r="E134">
        <v>591</v>
      </c>
    </row>
    <row r="135" spans="1:5" x14ac:dyDescent="0.3">
      <c r="A135" s="12">
        <v>43958</v>
      </c>
      <c r="B135" t="s">
        <v>18</v>
      </c>
      <c r="C135">
        <v>15</v>
      </c>
      <c r="D135">
        <v>805</v>
      </c>
      <c r="E135">
        <v>703</v>
      </c>
    </row>
    <row r="136" spans="1:5" x14ac:dyDescent="0.3">
      <c r="A136" s="12">
        <v>43958</v>
      </c>
      <c r="B136" t="s">
        <v>19</v>
      </c>
      <c r="C136">
        <v>15</v>
      </c>
      <c r="D136">
        <v>480</v>
      </c>
      <c r="E136">
        <v>398</v>
      </c>
    </row>
    <row r="137" spans="1:5" x14ac:dyDescent="0.3">
      <c r="A137" s="12">
        <v>43958</v>
      </c>
      <c r="B137" t="s">
        <v>15</v>
      </c>
      <c r="C137">
        <v>125</v>
      </c>
      <c r="D137">
        <v>18014</v>
      </c>
      <c r="E137">
        <v>16675</v>
      </c>
    </row>
    <row r="138" spans="1:5" x14ac:dyDescent="0.3">
      <c r="A138" s="12">
        <v>43958</v>
      </c>
      <c r="B138" t="s">
        <v>14</v>
      </c>
      <c r="C138">
        <v>129</v>
      </c>
      <c r="D138">
        <v>14582</v>
      </c>
      <c r="E138">
        <v>13512</v>
      </c>
    </row>
    <row r="139" spans="1:5" x14ac:dyDescent="0.3">
      <c r="A139" s="12">
        <v>43958</v>
      </c>
      <c r="B139" t="s">
        <v>12</v>
      </c>
      <c r="C139">
        <v>10</v>
      </c>
      <c r="D139">
        <v>563</v>
      </c>
      <c r="E139">
        <v>486</v>
      </c>
    </row>
    <row r="140" spans="1:5" x14ac:dyDescent="0.3">
      <c r="A140" s="12">
        <v>43959</v>
      </c>
      <c r="B140" t="s">
        <v>16</v>
      </c>
      <c r="C140">
        <v>36</v>
      </c>
      <c r="D140">
        <v>4199</v>
      </c>
      <c r="E140">
        <v>3867</v>
      </c>
    </row>
    <row r="141" spans="1:5" x14ac:dyDescent="0.3">
      <c r="A141" s="12">
        <v>43959</v>
      </c>
      <c r="B141" t="s">
        <v>11</v>
      </c>
      <c r="C141">
        <v>31</v>
      </c>
      <c r="D141">
        <v>4635</v>
      </c>
      <c r="E141">
        <v>4266</v>
      </c>
    </row>
    <row r="142" spans="1:5" x14ac:dyDescent="0.3">
      <c r="A142" s="12">
        <v>43959</v>
      </c>
      <c r="B142" t="s">
        <v>17</v>
      </c>
      <c r="C142">
        <v>21</v>
      </c>
      <c r="D142">
        <v>1957</v>
      </c>
      <c r="E142">
        <v>1755</v>
      </c>
    </row>
    <row r="143" spans="1:5" x14ac:dyDescent="0.3">
      <c r="A143" s="12">
        <v>43959</v>
      </c>
      <c r="B143" t="s">
        <v>10</v>
      </c>
      <c r="C143">
        <v>21</v>
      </c>
      <c r="D143">
        <v>1646</v>
      </c>
      <c r="E143">
        <v>1492</v>
      </c>
    </row>
    <row r="144" spans="1:5" x14ac:dyDescent="0.3">
      <c r="A144" s="12">
        <v>43959</v>
      </c>
      <c r="B144" t="s">
        <v>20</v>
      </c>
      <c r="C144">
        <v>19</v>
      </c>
      <c r="D144">
        <v>1520</v>
      </c>
      <c r="E144">
        <v>1380</v>
      </c>
    </row>
    <row r="145" spans="1:5" x14ac:dyDescent="0.3">
      <c r="A145" s="12">
        <v>43959</v>
      </c>
      <c r="B145" t="s">
        <v>22</v>
      </c>
      <c r="C145">
        <v>54</v>
      </c>
      <c r="D145">
        <v>13563</v>
      </c>
      <c r="E145">
        <v>12604</v>
      </c>
    </row>
    <row r="146" spans="1:5" x14ac:dyDescent="0.3">
      <c r="A146" s="12">
        <v>43959</v>
      </c>
      <c r="B146" t="s">
        <v>21</v>
      </c>
      <c r="C146">
        <v>59</v>
      </c>
      <c r="D146">
        <v>14098</v>
      </c>
      <c r="E146">
        <v>13106</v>
      </c>
    </row>
    <row r="147" spans="1:5" x14ac:dyDescent="0.3">
      <c r="A147" s="12">
        <v>43959</v>
      </c>
      <c r="B147" t="s">
        <v>13</v>
      </c>
      <c r="C147">
        <v>19</v>
      </c>
      <c r="D147">
        <v>1522</v>
      </c>
      <c r="E147">
        <v>1340</v>
      </c>
    </row>
    <row r="148" spans="1:5" x14ac:dyDescent="0.3">
      <c r="A148" s="12">
        <v>43959</v>
      </c>
      <c r="B148" t="s">
        <v>23</v>
      </c>
      <c r="C148">
        <v>15</v>
      </c>
      <c r="D148">
        <v>703</v>
      </c>
      <c r="E148">
        <v>609</v>
      </c>
    </row>
    <row r="149" spans="1:5" x14ac:dyDescent="0.3">
      <c r="A149" s="12">
        <v>43959</v>
      </c>
      <c r="B149" t="s">
        <v>18</v>
      </c>
      <c r="C149">
        <v>15</v>
      </c>
      <c r="D149">
        <v>879</v>
      </c>
      <c r="E149">
        <v>768</v>
      </c>
    </row>
    <row r="150" spans="1:5" x14ac:dyDescent="0.3">
      <c r="A150" s="12">
        <v>43959</v>
      </c>
      <c r="B150" t="s">
        <v>19</v>
      </c>
      <c r="C150">
        <v>15</v>
      </c>
      <c r="D150">
        <v>492</v>
      </c>
      <c r="E150">
        <v>412</v>
      </c>
    </row>
    <row r="151" spans="1:5" x14ac:dyDescent="0.3">
      <c r="A151" s="12">
        <v>43959</v>
      </c>
      <c r="B151" t="s">
        <v>15</v>
      </c>
      <c r="C151">
        <v>125</v>
      </c>
      <c r="D151">
        <v>24620</v>
      </c>
      <c r="E151">
        <v>22641</v>
      </c>
    </row>
    <row r="152" spans="1:5" x14ac:dyDescent="0.3">
      <c r="A152" s="12">
        <v>43959</v>
      </c>
      <c r="B152" t="s">
        <v>14</v>
      </c>
      <c r="C152">
        <v>129</v>
      </c>
      <c r="D152">
        <v>20452</v>
      </c>
      <c r="E152">
        <v>18857</v>
      </c>
    </row>
    <row r="153" spans="1:5" x14ac:dyDescent="0.3">
      <c r="A153" s="12">
        <v>43959</v>
      </c>
      <c r="B153" t="s">
        <v>12</v>
      </c>
      <c r="C153">
        <v>10</v>
      </c>
      <c r="D153">
        <v>638</v>
      </c>
      <c r="E153">
        <v>547</v>
      </c>
    </row>
    <row r="154" spans="1:5" x14ac:dyDescent="0.3">
      <c r="A154" s="12">
        <v>43960</v>
      </c>
      <c r="B154" t="s">
        <v>16</v>
      </c>
      <c r="C154">
        <v>36</v>
      </c>
      <c r="D154">
        <v>5413</v>
      </c>
      <c r="E154">
        <v>4959</v>
      </c>
    </row>
    <row r="155" spans="1:5" x14ac:dyDescent="0.3">
      <c r="A155" s="12">
        <v>43960</v>
      </c>
      <c r="B155" t="s">
        <v>11</v>
      </c>
      <c r="C155">
        <v>31</v>
      </c>
      <c r="D155">
        <v>4556</v>
      </c>
      <c r="E155">
        <v>4220</v>
      </c>
    </row>
    <row r="156" spans="1:5" x14ac:dyDescent="0.3">
      <c r="A156" s="12">
        <v>43960</v>
      </c>
      <c r="B156" t="s">
        <v>17</v>
      </c>
      <c r="C156">
        <v>21</v>
      </c>
      <c r="D156">
        <v>1891</v>
      </c>
      <c r="E156">
        <v>1709</v>
      </c>
    </row>
    <row r="157" spans="1:5" x14ac:dyDescent="0.3">
      <c r="A157" s="12">
        <v>43960</v>
      </c>
      <c r="B157" t="s">
        <v>10</v>
      </c>
      <c r="C157">
        <v>21</v>
      </c>
      <c r="D157">
        <v>1735</v>
      </c>
      <c r="E157">
        <v>1568</v>
      </c>
    </row>
    <row r="158" spans="1:5" x14ac:dyDescent="0.3">
      <c r="A158" s="12">
        <v>43960</v>
      </c>
      <c r="B158" t="s">
        <v>20</v>
      </c>
      <c r="C158">
        <v>19</v>
      </c>
      <c r="D158">
        <v>1542</v>
      </c>
      <c r="E158">
        <v>1412</v>
      </c>
    </row>
    <row r="159" spans="1:5" x14ac:dyDescent="0.3">
      <c r="A159" s="12">
        <v>43960</v>
      </c>
      <c r="B159" t="s">
        <v>22</v>
      </c>
      <c r="C159">
        <v>54</v>
      </c>
      <c r="D159">
        <v>11288</v>
      </c>
      <c r="E159">
        <v>10492</v>
      </c>
    </row>
    <row r="160" spans="1:5" x14ac:dyDescent="0.3">
      <c r="A160" s="12">
        <v>43960</v>
      </c>
      <c r="B160" t="s">
        <v>21</v>
      </c>
      <c r="C160">
        <v>59</v>
      </c>
      <c r="D160">
        <v>12016</v>
      </c>
      <c r="E160">
        <v>11137</v>
      </c>
    </row>
    <row r="161" spans="1:5" x14ac:dyDescent="0.3">
      <c r="A161" s="12">
        <v>43960</v>
      </c>
      <c r="B161" t="s">
        <v>13</v>
      </c>
      <c r="C161">
        <v>19</v>
      </c>
      <c r="D161">
        <v>1851</v>
      </c>
      <c r="E161">
        <v>1635</v>
      </c>
    </row>
    <row r="162" spans="1:5" x14ac:dyDescent="0.3">
      <c r="A162" s="12">
        <v>43960</v>
      </c>
      <c r="B162" t="s">
        <v>23</v>
      </c>
      <c r="C162">
        <v>15</v>
      </c>
      <c r="D162">
        <v>654</v>
      </c>
      <c r="E162">
        <v>570</v>
      </c>
    </row>
    <row r="163" spans="1:5" x14ac:dyDescent="0.3">
      <c r="A163" s="12">
        <v>43960</v>
      </c>
      <c r="B163" t="s">
        <v>18</v>
      </c>
      <c r="C163">
        <v>15</v>
      </c>
      <c r="D163">
        <v>849</v>
      </c>
      <c r="E163">
        <v>740</v>
      </c>
    </row>
    <row r="164" spans="1:5" x14ac:dyDescent="0.3">
      <c r="A164" s="12">
        <v>43960</v>
      </c>
      <c r="B164" t="s">
        <v>19</v>
      </c>
      <c r="C164">
        <v>15</v>
      </c>
      <c r="D164">
        <v>623</v>
      </c>
      <c r="E164">
        <v>535</v>
      </c>
    </row>
    <row r="165" spans="1:5" x14ac:dyDescent="0.3">
      <c r="A165" s="12">
        <v>43960</v>
      </c>
      <c r="B165" t="s">
        <v>15</v>
      </c>
      <c r="C165">
        <v>125</v>
      </c>
      <c r="D165">
        <v>20132</v>
      </c>
      <c r="E165">
        <v>18617</v>
      </c>
    </row>
    <row r="166" spans="1:5" x14ac:dyDescent="0.3">
      <c r="A166" s="12">
        <v>43960</v>
      </c>
      <c r="B166" t="s">
        <v>14</v>
      </c>
      <c r="C166">
        <v>129</v>
      </c>
      <c r="D166">
        <v>16420</v>
      </c>
      <c r="E166">
        <v>15169</v>
      </c>
    </row>
    <row r="167" spans="1:5" x14ac:dyDescent="0.3">
      <c r="A167" s="12">
        <v>43960</v>
      </c>
      <c r="B167" t="s">
        <v>12</v>
      </c>
      <c r="C167">
        <v>10</v>
      </c>
      <c r="D167">
        <v>644</v>
      </c>
      <c r="E167">
        <v>559</v>
      </c>
    </row>
    <row r="168" spans="1:5" x14ac:dyDescent="0.3">
      <c r="A168" s="12">
        <v>43961</v>
      </c>
      <c r="B168" t="s">
        <v>16</v>
      </c>
      <c r="C168">
        <v>36</v>
      </c>
      <c r="D168">
        <v>5746</v>
      </c>
      <c r="E168">
        <v>5277</v>
      </c>
    </row>
    <row r="169" spans="1:5" x14ac:dyDescent="0.3">
      <c r="A169" s="12">
        <v>43961</v>
      </c>
      <c r="B169" t="s">
        <v>11</v>
      </c>
      <c r="C169">
        <v>31</v>
      </c>
      <c r="D169">
        <v>5495</v>
      </c>
      <c r="E169">
        <v>5093</v>
      </c>
    </row>
    <row r="170" spans="1:5" x14ac:dyDescent="0.3">
      <c r="A170" s="12">
        <v>43961</v>
      </c>
      <c r="B170" t="s">
        <v>17</v>
      </c>
      <c r="C170">
        <v>21</v>
      </c>
      <c r="D170">
        <v>2120</v>
      </c>
      <c r="E170">
        <v>1921</v>
      </c>
    </row>
    <row r="171" spans="1:5" x14ac:dyDescent="0.3">
      <c r="A171" s="12">
        <v>43961</v>
      </c>
      <c r="B171" t="s">
        <v>10</v>
      </c>
      <c r="C171">
        <v>21</v>
      </c>
      <c r="D171">
        <v>2016</v>
      </c>
      <c r="E171">
        <v>1846</v>
      </c>
    </row>
    <row r="172" spans="1:5" x14ac:dyDescent="0.3">
      <c r="A172" s="12">
        <v>43961</v>
      </c>
      <c r="B172" t="s">
        <v>20</v>
      </c>
      <c r="C172">
        <v>19</v>
      </c>
      <c r="D172">
        <v>1836</v>
      </c>
      <c r="E172">
        <v>1680</v>
      </c>
    </row>
    <row r="173" spans="1:5" x14ac:dyDescent="0.3">
      <c r="A173" s="12">
        <v>43961</v>
      </c>
      <c r="B173" t="s">
        <v>22</v>
      </c>
      <c r="C173">
        <v>54</v>
      </c>
      <c r="D173">
        <v>13832</v>
      </c>
      <c r="E173">
        <v>12864</v>
      </c>
    </row>
    <row r="174" spans="1:5" x14ac:dyDescent="0.3">
      <c r="A174" s="12">
        <v>43961</v>
      </c>
      <c r="B174" t="s">
        <v>21</v>
      </c>
      <c r="C174">
        <v>59</v>
      </c>
      <c r="D174">
        <v>14569</v>
      </c>
      <c r="E174">
        <v>13566</v>
      </c>
    </row>
    <row r="175" spans="1:5" x14ac:dyDescent="0.3">
      <c r="A175" s="12">
        <v>43961</v>
      </c>
      <c r="B175" t="s">
        <v>13</v>
      </c>
      <c r="C175">
        <v>19</v>
      </c>
      <c r="D175">
        <v>1848</v>
      </c>
      <c r="E175">
        <v>1649</v>
      </c>
    </row>
    <row r="176" spans="1:5" x14ac:dyDescent="0.3">
      <c r="A176" s="12">
        <v>43961</v>
      </c>
      <c r="B176" t="s">
        <v>23</v>
      </c>
      <c r="C176">
        <v>15</v>
      </c>
      <c r="D176">
        <v>792</v>
      </c>
      <c r="E176">
        <v>695</v>
      </c>
    </row>
    <row r="177" spans="1:5" x14ac:dyDescent="0.3">
      <c r="A177" s="12">
        <v>43961</v>
      </c>
      <c r="B177" t="s">
        <v>18</v>
      </c>
      <c r="C177">
        <v>15</v>
      </c>
      <c r="D177">
        <v>950</v>
      </c>
      <c r="E177">
        <v>848</v>
      </c>
    </row>
    <row r="178" spans="1:5" x14ac:dyDescent="0.3">
      <c r="A178" s="12">
        <v>43961</v>
      </c>
      <c r="B178" t="s">
        <v>19</v>
      </c>
      <c r="C178">
        <v>15</v>
      </c>
      <c r="D178">
        <v>706</v>
      </c>
      <c r="E178">
        <v>608</v>
      </c>
    </row>
    <row r="179" spans="1:5" x14ac:dyDescent="0.3">
      <c r="A179" s="12">
        <v>43961</v>
      </c>
      <c r="B179" t="s">
        <v>15</v>
      </c>
      <c r="C179">
        <v>125</v>
      </c>
      <c r="D179">
        <v>20368</v>
      </c>
      <c r="E179">
        <v>18884</v>
      </c>
    </row>
    <row r="180" spans="1:5" x14ac:dyDescent="0.3">
      <c r="A180" s="12">
        <v>43961</v>
      </c>
      <c r="B180" t="s">
        <v>14</v>
      </c>
      <c r="C180">
        <v>129</v>
      </c>
      <c r="D180">
        <v>16437</v>
      </c>
      <c r="E180">
        <v>15285</v>
      </c>
    </row>
    <row r="181" spans="1:5" x14ac:dyDescent="0.3">
      <c r="A181" s="12">
        <v>43961</v>
      </c>
      <c r="B181" t="s">
        <v>12</v>
      </c>
      <c r="C181">
        <v>10</v>
      </c>
      <c r="D181">
        <v>642</v>
      </c>
      <c r="E181">
        <v>556</v>
      </c>
    </row>
    <row r="182" spans="1:5" x14ac:dyDescent="0.3">
      <c r="A182" s="12">
        <v>43962</v>
      </c>
      <c r="B182" t="s">
        <v>16</v>
      </c>
      <c r="C182">
        <v>36</v>
      </c>
      <c r="D182">
        <v>4150</v>
      </c>
      <c r="E182">
        <v>3838</v>
      </c>
    </row>
    <row r="183" spans="1:5" x14ac:dyDescent="0.3">
      <c r="A183" s="12">
        <v>43962</v>
      </c>
      <c r="B183" t="s">
        <v>11</v>
      </c>
      <c r="C183">
        <v>31</v>
      </c>
      <c r="D183">
        <v>4826</v>
      </c>
      <c r="E183">
        <v>4483</v>
      </c>
    </row>
    <row r="184" spans="1:5" x14ac:dyDescent="0.3">
      <c r="A184" s="12">
        <v>43962</v>
      </c>
      <c r="B184" t="s">
        <v>17</v>
      </c>
      <c r="C184">
        <v>21</v>
      </c>
      <c r="D184">
        <v>1916</v>
      </c>
      <c r="E184">
        <v>1733</v>
      </c>
    </row>
    <row r="185" spans="1:5" x14ac:dyDescent="0.3">
      <c r="A185" s="12">
        <v>43962</v>
      </c>
      <c r="B185" t="s">
        <v>10</v>
      </c>
      <c r="C185">
        <v>21</v>
      </c>
      <c r="D185">
        <v>1597</v>
      </c>
      <c r="E185">
        <v>1457</v>
      </c>
    </row>
    <row r="186" spans="1:5" x14ac:dyDescent="0.3">
      <c r="A186" s="12">
        <v>43962</v>
      </c>
      <c r="B186" t="s">
        <v>20</v>
      </c>
      <c r="C186">
        <v>19</v>
      </c>
      <c r="D186">
        <v>1527</v>
      </c>
      <c r="E186">
        <v>1389</v>
      </c>
    </row>
    <row r="187" spans="1:5" x14ac:dyDescent="0.3">
      <c r="A187" s="12">
        <v>43962</v>
      </c>
      <c r="B187" t="s">
        <v>22</v>
      </c>
      <c r="C187">
        <v>54</v>
      </c>
      <c r="D187">
        <v>10570</v>
      </c>
      <c r="E187">
        <v>9926</v>
      </c>
    </row>
    <row r="188" spans="1:5" x14ac:dyDescent="0.3">
      <c r="A188" s="12">
        <v>43962</v>
      </c>
      <c r="B188" t="s">
        <v>21</v>
      </c>
      <c r="C188">
        <v>60</v>
      </c>
      <c r="D188">
        <v>11100</v>
      </c>
      <c r="E188">
        <v>10407</v>
      </c>
    </row>
    <row r="189" spans="1:5" x14ac:dyDescent="0.3">
      <c r="A189" s="12">
        <v>43962</v>
      </c>
      <c r="B189" t="s">
        <v>13</v>
      </c>
      <c r="C189">
        <v>19</v>
      </c>
      <c r="D189">
        <v>2530</v>
      </c>
      <c r="E189">
        <v>2270</v>
      </c>
    </row>
    <row r="190" spans="1:5" x14ac:dyDescent="0.3">
      <c r="A190" s="12">
        <v>43962</v>
      </c>
      <c r="B190" t="s">
        <v>23</v>
      </c>
      <c r="C190">
        <v>15</v>
      </c>
      <c r="D190">
        <v>654</v>
      </c>
      <c r="E190">
        <v>564</v>
      </c>
    </row>
    <row r="191" spans="1:5" x14ac:dyDescent="0.3">
      <c r="A191" s="12">
        <v>43962</v>
      </c>
      <c r="B191" t="s">
        <v>18</v>
      </c>
      <c r="C191">
        <v>15</v>
      </c>
      <c r="D191">
        <v>812</v>
      </c>
      <c r="E191">
        <v>714</v>
      </c>
    </row>
    <row r="192" spans="1:5" x14ac:dyDescent="0.3">
      <c r="A192" s="12">
        <v>43962</v>
      </c>
      <c r="B192" t="s">
        <v>19</v>
      </c>
      <c r="C192">
        <v>15</v>
      </c>
      <c r="D192">
        <v>684</v>
      </c>
      <c r="E192">
        <v>585</v>
      </c>
    </row>
    <row r="193" spans="1:5" x14ac:dyDescent="0.3">
      <c r="A193" s="12">
        <v>43962</v>
      </c>
      <c r="B193" t="s">
        <v>15</v>
      </c>
      <c r="C193">
        <v>125</v>
      </c>
      <c r="D193">
        <v>18066</v>
      </c>
      <c r="E193">
        <v>16883</v>
      </c>
    </row>
    <row r="194" spans="1:5" x14ac:dyDescent="0.3">
      <c r="A194" s="12">
        <v>43962</v>
      </c>
      <c r="B194" t="s">
        <v>14</v>
      </c>
      <c r="C194">
        <v>129</v>
      </c>
      <c r="D194">
        <v>14043</v>
      </c>
      <c r="E194">
        <v>13167</v>
      </c>
    </row>
    <row r="195" spans="1:5" x14ac:dyDescent="0.3">
      <c r="A195" s="12">
        <v>43962</v>
      </c>
      <c r="B195" t="s">
        <v>12</v>
      </c>
      <c r="C195">
        <v>10</v>
      </c>
      <c r="D195">
        <v>494</v>
      </c>
      <c r="E195">
        <v>421</v>
      </c>
    </row>
    <row r="196" spans="1:5" x14ac:dyDescent="0.3">
      <c r="A196" s="12">
        <v>43963</v>
      </c>
      <c r="B196" t="s">
        <v>16</v>
      </c>
      <c r="C196">
        <v>36</v>
      </c>
      <c r="D196">
        <v>4418</v>
      </c>
      <c r="E196">
        <v>4088</v>
      </c>
    </row>
    <row r="197" spans="1:5" x14ac:dyDescent="0.3">
      <c r="A197" s="12">
        <v>43963</v>
      </c>
      <c r="B197" t="s">
        <v>11</v>
      </c>
      <c r="C197">
        <v>31</v>
      </c>
      <c r="D197">
        <v>4800</v>
      </c>
      <c r="E197">
        <v>4470</v>
      </c>
    </row>
    <row r="198" spans="1:5" x14ac:dyDescent="0.3">
      <c r="A198" s="12">
        <v>43963</v>
      </c>
      <c r="B198" t="s">
        <v>17</v>
      </c>
      <c r="C198">
        <v>21</v>
      </c>
      <c r="D198">
        <v>1926</v>
      </c>
      <c r="E198">
        <v>1745</v>
      </c>
    </row>
    <row r="199" spans="1:5" x14ac:dyDescent="0.3">
      <c r="A199" s="12">
        <v>43963</v>
      </c>
      <c r="B199" t="s">
        <v>10</v>
      </c>
      <c r="C199">
        <v>21</v>
      </c>
      <c r="D199">
        <v>1656</v>
      </c>
      <c r="E199">
        <v>1516</v>
      </c>
    </row>
    <row r="200" spans="1:5" x14ac:dyDescent="0.3">
      <c r="A200" s="12">
        <v>43963</v>
      </c>
      <c r="B200" t="s">
        <v>20</v>
      </c>
      <c r="C200">
        <v>19</v>
      </c>
      <c r="D200">
        <v>1598</v>
      </c>
      <c r="E200">
        <v>1454</v>
      </c>
    </row>
    <row r="201" spans="1:5" x14ac:dyDescent="0.3">
      <c r="A201" s="12">
        <v>43963</v>
      </c>
      <c r="B201" t="s">
        <v>22</v>
      </c>
      <c r="C201">
        <v>54</v>
      </c>
      <c r="D201">
        <v>11614</v>
      </c>
      <c r="E201">
        <v>10862</v>
      </c>
    </row>
    <row r="202" spans="1:5" x14ac:dyDescent="0.3">
      <c r="A202" s="12">
        <v>43963</v>
      </c>
      <c r="B202" t="s">
        <v>21</v>
      </c>
      <c r="C202">
        <v>60</v>
      </c>
      <c r="D202">
        <v>12000</v>
      </c>
      <c r="E202">
        <v>11194</v>
      </c>
    </row>
    <row r="203" spans="1:5" x14ac:dyDescent="0.3">
      <c r="A203" s="12">
        <v>43963</v>
      </c>
      <c r="B203" t="s">
        <v>13</v>
      </c>
      <c r="C203">
        <v>19</v>
      </c>
      <c r="D203">
        <v>1649</v>
      </c>
      <c r="E203">
        <v>1460</v>
      </c>
    </row>
    <row r="204" spans="1:5" x14ac:dyDescent="0.3">
      <c r="A204" s="12">
        <v>43963</v>
      </c>
      <c r="B204" t="s">
        <v>23</v>
      </c>
      <c r="C204">
        <v>15</v>
      </c>
      <c r="D204">
        <v>750</v>
      </c>
      <c r="E204">
        <v>659</v>
      </c>
    </row>
    <row r="205" spans="1:5" x14ac:dyDescent="0.3">
      <c r="A205" s="12">
        <v>43963</v>
      </c>
      <c r="B205" t="s">
        <v>18</v>
      </c>
      <c r="C205">
        <v>15</v>
      </c>
      <c r="D205">
        <v>845</v>
      </c>
      <c r="E205">
        <v>743</v>
      </c>
    </row>
    <row r="206" spans="1:5" x14ac:dyDescent="0.3">
      <c r="A206" s="12">
        <v>43963</v>
      </c>
      <c r="B206" t="s">
        <v>19</v>
      </c>
      <c r="C206">
        <v>15</v>
      </c>
      <c r="D206">
        <v>624</v>
      </c>
      <c r="E206">
        <v>538</v>
      </c>
    </row>
    <row r="207" spans="1:5" x14ac:dyDescent="0.3">
      <c r="A207" s="12">
        <v>43963</v>
      </c>
      <c r="B207" t="s">
        <v>15</v>
      </c>
      <c r="C207">
        <v>125</v>
      </c>
      <c r="D207">
        <v>21106</v>
      </c>
      <c r="E207">
        <v>19651</v>
      </c>
    </row>
    <row r="208" spans="1:5" x14ac:dyDescent="0.3">
      <c r="A208" s="12">
        <v>43963</v>
      </c>
      <c r="B208" t="s">
        <v>14</v>
      </c>
      <c r="C208">
        <v>129</v>
      </c>
      <c r="D208">
        <v>16387</v>
      </c>
      <c r="E208">
        <v>15322</v>
      </c>
    </row>
    <row r="209" spans="1:5" x14ac:dyDescent="0.3">
      <c r="A209" s="12">
        <v>43963</v>
      </c>
      <c r="B209" t="s">
        <v>12</v>
      </c>
      <c r="C209">
        <v>10</v>
      </c>
      <c r="D209">
        <v>526</v>
      </c>
      <c r="E209">
        <v>448</v>
      </c>
    </row>
    <row r="210" spans="1:5" x14ac:dyDescent="0.3">
      <c r="A210" s="12">
        <v>43964</v>
      </c>
      <c r="B210" t="s">
        <v>16</v>
      </c>
      <c r="C210">
        <v>36</v>
      </c>
      <c r="D210">
        <v>4967</v>
      </c>
      <c r="E210">
        <v>4583</v>
      </c>
    </row>
    <row r="211" spans="1:5" x14ac:dyDescent="0.3">
      <c r="A211" s="12">
        <v>43964</v>
      </c>
      <c r="B211" t="s">
        <v>11</v>
      </c>
      <c r="C211">
        <v>31</v>
      </c>
      <c r="D211">
        <v>5251</v>
      </c>
      <c r="E211">
        <v>4853</v>
      </c>
    </row>
    <row r="212" spans="1:5" x14ac:dyDescent="0.3">
      <c r="A212" s="12">
        <v>43964</v>
      </c>
      <c r="B212" t="s">
        <v>17</v>
      </c>
      <c r="C212">
        <v>21</v>
      </c>
      <c r="D212">
        <v>2061</v>
      </c>
      <c r="E212">
        <v>1876</v>
      </c>
    </row>
    <row r="213" spans="1:5" x14ac:dyDescent="0.3">
      <c r="A213" s="12">
        <v>43964</v>
      </c>
      <c r="B213" t="s">
        <v>10</v>
      </c>
      <c r="C213">
        <v>21</v>
      </c>
      <c r="D213">
        <v>1698</v>
      </c>
      <c r="E213">
        <v>1554</v>
      </c>
    </row>
    <row r="214" spans="1:5" x14ac:dyDescent="0.3">
      <c r="A214" s="12">
        <v>43964</v>
      </c>
      <c r="B214" t="s">
        <v>20</v>
      </c>
      <c r="C214">
        <v>19</v>
      </c>
      <c r="D214">
        <v>1605</v>
      </c>
      <c r="E214">
        <v>1447</v>
      </c>
    </row>
    <row r="215" spans="1:5" x14ac:dyDescent="0.3">
      <c r="A215" s="12">
        <v>43964</v>
      </c>
      <c r="B215" t="s">
        <v>22</v>
      </c>
      <c r="C215">
        <v>54</v>
      </c>
      <c r="D215">
        <v>11522</v>
      </c>
      <c r="E215">
        <v>10803</v>
      </c>
    </row>
    <row r="216" spans="1:5" x14ac:dyDescent="0.3">
      <c r="A216" s="12">
        <v>43964</v>
      </c>
      <c r="B216" t="s">
        <v>21</v>
      </c>
      <c r="C216">
        <v>60</v>
      </c>
      <c r="D216">
        <v>12007</v>
      </c>
      <c r="E216">
        <v>11245</v>
      </c>
    </row>
    <row r="217" spans="1:5" x14ac:dyDescent="0.3">
      <c r="A217" s="12">
        <v>43964</v>
      </c>
      <c r="B217" t="s">
        <v>13</v>
      </c>
      <c r="C217">
        <v>19</v>
      </c>
      <c r="D217">
        <v>1625</v>
      </c>
      <c r="E217">
        <v>1444</v>
      </c>
    </row>
    <row r="218" spans="1:5" x14ac:dyDescent="0.3">
      <c r="A218" s="12">
        <v>43964</v>
      </c>
      <c r="B218" t="s">
        <v>23</v>
      </c>
      <c r="C218">
        <v>15</v>
      </c>
      <c r="D218">
        <v>854</v>
      </c>
      <c r="E218">
        <v>756</v>
      </c>
    </row>
    <row r="219" spans="1:5" x14ac:dyDescent="0.3">
      <c r="A219" s="12">
        <v>43964</v>
      </c>
      <c r="B219" t="s">
        <v>18</v>
      </c>
      <c r="C219">
        <v>15</v>
      </c>
      <c r="D219">
        <v>898</v>
      </c>
      <c r="E219">
        <v>795</v>
      </c>
    </row>
    <row r="220" spans="1:5" x14ac:dyDescent="0.3">
      <c r="A220" s="12">
        <v>43964</v>
      </c>
      <c r="B220" t="s">
        <v>19</v>
      </c>
      <c r="C220">
        <v>15</v>
      </c>
      <c r="D220">
        <v>599</v>
      </c>
      <c r="E220">
        <v>515</v>
      </c>
    </row>
    <row r="221" spans="1:5" x14ac:dyDescent="0.3">
      <c r="A221" s="12">
        <v>43964</v>
      </c>
      <c r="B221" t="s">
        <v>15</v>
      </c>
      <c r="C221">
        <v>125</v>
      </c>
      <c r="D221">
        <v>19965</v>
      </c>
      <c r="E221">
        <v>18573</v>
      </c>
    </row>
    <row r="222" spans="1:5" x14ac:dyDescent="0.3">
      <c r="A222" s="12">
        <v>43964</v>
      </c>
      <c r="B222" t="s">
        <v>14</v>
      </c>
      <c r="C222">
        <v>129</v>
      </c>
      <c r="D222">
        <v>15304</v>
      </c>
      <c r="E222">
        <v>14315</v>
      </c>
    </row>
    <row r="223" spans="1:5" x14ac:dyDescent="0.3">
      <c r="A223" s="12">
        <v>43964</v>
      </c>
      <c r="B223" t="s">
        <v>12</v>
      </c>
      <c r="C223">
        <v>10</v>
      </c>
      <c r="D223">
        <v>612</v>
      </c>
      <c r="E223">
        <v>530</v>
      </c>
    </row>
    <row r="224" spans="1:5" x14ac:dyDescent="0.3">
      <c r="A224" s="12">
        <v>43965</v>
      </c>
      <c r="B224" t="s">
        <v>16</v>
      </c>
      <c r="C224">
        <v>36</v>
      </c>
      <c r="D224">
        <v>4285</v>
      </c>
      <c r="E224">
        <v>3950</v>
      </c>
    </row>
    <row r="225" spans="1:5" x14ac:dyDescent="0.3">
      <c r="A225" s="12">
        <v>43965</v>
      </c>
      <c r="B225" t="s">
        <v>11</v>
      </c>
      <c r="C225">
        <v>31</v>
      </c>
      <c r="D225">
        <v>4695</v>
      </c>
      <c r="E225">
        <v>4372</v>
      </c>
    </row>
    <row r="226" spans="1:5" x14ac:dyDescent="0.3">
      <c r="A226" s="12">
        <v>43965</v>
      </c>
      <c r="B226" t="s">
        <v>17</v>
      </c>
      <c r="C226">
        <v>21</v>
      </c>
      <c r="D226">
        <v>1993</v>
      </c>
      <c r="E226">
        <v>1796</v>
      </c>
    </row>
    <row r="227" spans="1:5" x14ac:dyDescent="0.3">
      <c r="A227" s="12">
        <v>43965</v>
      </c>
      <c r="B227" t="s">
        <v>10</v>
      </c>
      <c r="C227">
        <v>21</v>
      </c>
      <c r="D227">
        <v>1706</v>
      </c>
      <c r="E227">
        <v>1548</v>
      </c>
    </row>
    <row r="228" spans="1:5" x14ac:dyDescent="0.3">
      <c r="A228" s="12">
        <v>43965</v>
      </c>
      <c r="B228" t="s">
        <v>20</v>
      </c>
      <c r="C228">
        <v>19</v>
      </c>
      <c r="D228">
        <v>1635</v>
      </c>
      <c r="E228">
        <v>1487</v>
      </c>
    </row>
    <row r="229" spans="1:5" x14ac:dyDescent="0.3">
      <c r="A229" s="12">
        <v>43965</v>
      </c>
      <c r="B229" t="s">
        <v>22</v>
      </c>
      <c r="C229">
        <v>54</v>
      </c>
      <c r="D229">
        <v>11194</v>
      </c>
      <c r="E229">
        <v>10554</v>
      </c>
    </row>
    <row r="230" spans="1:5" x14ac:dyDescent="0.3">
      <c r="A230" s="12">
        <v>43965</v>
      </c>
      <c r="B230" t="s">
        <v>21</v>
      </c>
      <c r="C230">
        <v>60</v>
      </c>
      <c r="D230">
        <v>11935</v>
      </c>
      <c r="E230">
        <v>11178</v>
      </c>
    </row>
    <row r="231" spans="1:5" x14ac:dyDescent="0.3">
      <c r="A231" s="12">
        <v>43965</v>
      </c>
      <c r="B231" t="s">
        <v>13</v>
      </c>
      <c r="C231">
        <v>19</v>
      </c>
      <c r="D231">
        <v>1675</v>
      </c>
      <c r="E231">
        <v>1475</v>
      </c>
    </row>
    <row r="232" spans="1:5" x14ac:dyDescent="0.3">
      <c r="A232" s="12">
        <v>43965</v>
      </c>
      <c r="B232" t="s">
        <v>23</v>
      </c>
      <c r="C232">
        <v>16</v>
      </c>
      <c r="D232">
        <v>834</v>
      </c>
      <c r="E232">
        <v>735</v>
      </c>
    </row>
    <row r="233" spans="1:5" x14ac:dyDescent="0.3">
      <c r="A233" s="12">
        <v>43965</v>
      </c>
      <c r="B233" t="s">
        <v>18</v>
      </c>
      <c r="C233">
        <v>15</v>
      </c>
      <c r="D233">
        <v>890</v>
      </c>
      <c r="E233">
        <v>777</v>
      </c>
    </row>
    <row r="234" spans="1:5" x14ac:dyDescent="0.3">
      <c r="A234" s="12">
        <v>43965</v>
      </c>
      <c r="B234" t="s">
        <v>19</v>
      </c>
      <c r="C234">
        <v>15</v>
      </c>
      <c r="D234">
        <v>638</v>
      </c>
      <c r="E234">
        <v>548</v>
      </c>
    </row>
    <row r="235" spans="1:5" x14ac:dyDescent="0.3">
      <c r="A235" s="12">
        <v>43965</v>
      </c>
      <c r="B235" t="s">
        <v>15</v>
      </c>
      <c r="C235">
        <v>125</v>
      </c>
      <c r="D235">
        <v>20247</v>
      </c>
      <c r="E235">
        <v>18812</v>
      </c>
    </row>
    <row r="236" spans="1:5" x14ac:dyDescent="0.3">
      <c r="A236" s="12">
        <v>43965</v>
      </c>
      <c r="B236" t="s">
        <v>14</v>
      </c>
      <c r="C236">
        <v>129</v>
      </c>
      <c r="D236">
        <v>15804</v>
      </c>
      <c r="E236">
        <v>14738</v>
      </c>
    </row>
    <row r="237" spans="1:5" x14ac:dyDescent="0.3">
      <c r="A237" s="12">
        <v>43965</v>
      </c>
      <c r="B237" t="s">
        <v>12</v>
      </c>
      <c r="C237">
        <v>10</v>
      </c>
      <c r="D237">
        <v>627</v>
      </c>
      <c r="E237">
        <v>545</v>
      </c>
    </row>
    <row r="238" spans="1:5" x14ac:dyDescent="0.3">
      <c r="A238" s="12">
        <v>43966</v>
      </c>
      <c r="B238" t="s">
        <v>16</v>
      </c>
      <c r="C238">
        <v>36</v>
      </c>
      <c r="D238">
        <v>4862</v>
      </c>
      <c r="E238">
        <v>4476</v>
      </c>
    </row>
    <row r="239" spans="1:5" x14ac:dyDescent="0.3">
      <c r="A239" s="12">
        <v>43966</v>
      </c>
      <c r="B239" t="s">
        <v>11</v>
      </c>
      <c r="C239">
        <v>31</v>
      </c>
      <c r="D239">
        <v>5184</v>
      </c>
      <c r="E239">
        <v>4778</v>
      </c>
    </row>
    <row r="240" spans="1:5" x14ac:dyDescent="0.3">
      <c r="A240" s="12">
        <v>43966</v>
      </c>
      <c r="B240" t="s">
        <v>17</v>
      </c>
      <c r="C240">
        <v>21</v>
      </c>
      <c r="D240">
        <v>2255</v>
      </c>
      <c r="E240">
        <v>2045</v>
      </c>
    </row>
    <row r="241" spans="1:5" x14ac:dyDescent="0.3">
      <c r="A241" s="12">
        <v>43966</v>
      </c>
      <c r="B241" t="s">
        <v>10</v>
      </c>
      <c r="C241">
        <v>21</v>
      </c>
      <c r="D241">
        <v>1926</v>
      </c>
      <c r="E241">
        <v>1742</v>
      </c>
    </row>
    <row r="242" spans="1:5" x14ac:dyDescent="0.3">
      <c r="A242" s="12">
        <v>43966</v>
      </c>
      <c r="B242" t="s">
        <v>20</v>
      </c>
      <c r="C242">
        <v>19</v>
      </c>
      <c r="D242">
        <v>1780</v>
      </c>
      <c r="E242">
        <v>1615</v>
      </c>
    </row>
    <row r="243" spans="1:5" x14ac:dyDescent="0.3">
      <c r="A243" s="12">
        <v>43966</v>
      </c>
      <c r="B243" t="s">
        <v>22</v>
      </c>
      <c r="C243">
        <v>54</v>
      </c>
      <c r="D243">
        <v>12791</v>
      </c>
      <c r="E243">
        <v>11950</v>
      </c>
    </row>
    <row r="244" spans="1:5" x14ac:dyDescent="0.3">
      <c r="A244" s="12">
        <v>43966</v>
      </c>
      <c r="B244" t="s">
        <v>21</v>
      </c>
      <c r="C244">
        <v>60</v>
      </c>
      <c r="D244">
        <v>13544</v>
      </c>
      <c r="E244">
        <v>12643</v>
      </c>
    </row>
    <row r="245" spans="1:5" x14ac:dyDescent="0.3">
      <c r="A245" s="12">
        <v>43966</v>
      </c>
      <c r="B245" t="s">
        <v>13</v>
      </c>
      <c r="C245">
        <v>19</v>
      </c>
      <c r="D245">
        <v>1940</v>
      </c>
      <c r="E245">
        <v>1715</v>
      </c>
    </row>
    <row r="246" spans="1:5" x14ac:dyDescent="0.3">
      <c r="A246" s="12">
        <v>43966</v>
      </c>
      <c r="B246" t="s">
        <v>23</v>
      </c>
      <c r="C246">
        <v>16</v>
      </c>
      <c r="D246">
        <v>817</v>
      </c>
      <c r="E246">
        <v>718</v>
      </c>
    </row>
    <row r="247" spans="1:5" x14ac:dyDescent="0.3">
      <c r="A247" s="12">
        <v>43966</v>
      </c>
      <c r="B247" t="s">
        <v>18</v>
      </c>
      <c r="C247">
        <v>15</v>
      </c>
      <c r="D247">
        <v>980</v>
      </c>
      <c r="E247">
        <v>867</v>
      </c>
    </row>
    <row r="248" spans="1:5" x14ac:dyDescent="0.3">
      <c r="A248" s="12">
        <v>43966</v>
      </c>
      <c r="B248" t="s">
        <v>19</v>
      </c>
      <c r="C248">
        <v>15</v>
      </c>
      <c r="D248">
        <v>688</v>
      </c>
      <c r="E248">
        <v>598</v>
      </c>
    </row>
    <row r="249" spans="1:5" x14ac:dyDescent="0.3">
      <c r="A249" s="12">
        <v>43966</v>
      </c>
      <c r="B249" t="s">
        <v>15</v>
      </c>
      <c r="C249">
        <v>125</v>
      </c>
      <c r="D249">
        <v>21862</v>
      </c>
      <c r="E249">
        <v>20235</v>
      </c>
    </row>
    <row r="250" spans="1:5" x14ac:dyDescent="0.3">
      <c r="A250" s="12">
        <v>43966</v>
      </c>
      <c r="B250" t="s">
        <v>14</v>
      </c>
      <c r="C250">
        <v>129</v>
      </c>
      <c r="D250">
        <v>17808</v>
      </c>
      <c r="E250">
        <v>16486</v>
      </c>
    </row>
    <row r="251" spans="1:5" x14ac:dyDescent="0.3">
      <c r="A251" s="12">
        <v>43966</v>
      </c>
      <c r="B251" t="s">
        <v>12</v>
      </c>
      <c r="C251">
        <v>10</v>
      </c>
      <c r="D251">
        <v>743</v>
      </c>
      <c r="E251">
        <v>652</v>
      </c>
    </row>
    <row r="252" spans="1:5" x14ac:dyDescent="0.3">
      <c r="A252" s="12">
        <v>43967</v>
      </c>
      <c r="B252" t="s">
        <v>16</v>
      </c>
      <c r="C252">
        <v>36</v>
      </c>
      <c r="D252">
        <v>5286</v>
      </c>
      <c r="E252">
        <v>4867</v>
      </c>
    </row>
    <row r="253" spans="1:5" x14ac:dyDescent="0.3">
      <c r="A253" s="12">
        <v>43967</v>
      </c>
      <c r="B253" t="s">
        <v>11</v>
      </c>
      <c r="C253">
        <v>31</v>
      </c>
      <c r="D253">
        <v>5593</v>
      </c>
      <c r="E253">
        <v>5177</v>
      </c>
    </row>
    <row r="254" spans="1:5" x14ac:dyDescent="0.3">
      <c r="A254" s="12">
        <v>43967</v>
      </c>
      <c r="B254" t="s">
        <v>17</v>
      </c>
      <c r="C254">
        <v>21</v>
      </c>
      <c r="D254">
        <v>2427</v>
      </c>
      <c r="E254">
        <v>2213</v>
      </c>
    </row>
    <row r="255" spans="1:5" x14ac:dyDescent="0.3">
      <c r="A255" s="12">
        <v>43967</v>
      </c>
      <c r="B255" t="s">
        <v>10</v>
      </c>
      <c r="C255">
        <v>21</v>
      </c>
      <c r="D255">
        <v>2145</v>
      </c>
      <c r="E255">
        <v>1947</v>
      </c>
    </row>
    <row r="256" spans="1:5" x14ac:dyDescent="0.3">
      <c r="A256" s="12">
        <v>43967</v>
      </c>
      <c r="B256" t="s">
        <v>20</v>
      </c>
      <c r="C256">
        <v>19</v>
      </c>
      <c r="D256">
        <v>2039</v>
      </c>
      <c r="E256">
        <v>1868</v>
      </c>
    </row>
    <row r="257" spans="1:5" x14ac:dyDescent="0.3">
      <c r="A257" s="12">
        <v>43967</v>
      </c>
      <c r="B257" t="s">
        <v>22</v>
      </c>
      <c r="C257">
        <v>54</v>
      </c>
      <c r="D257">
        <v>13170</v>
      </c>
      <c r="E257">
        <v>12299</v>
      </c>
    </row>
    <row r="258" spans="1:5" x14ac:dyDescent="0.3">
      <c r="A258" s="12">
        <v>43967</v>
      </c>
      <c r="B258" t="s">
        <v>21</v>
      </c>
      <c r="C258">
        <v>60</v>
      </c>
      <c r="D258">
        <v>14049</v>
      </c>
      <c r="E258">
        <v>13118</v>
      </c>
    </row>
    <row r="259" spans="1:5" x14ac:dyDescent="0.3">
      <c r="A259" s="12">
        <v>43967</v>
      </c>
      <c r="B259" t="s">
        <v>13</v>
      </c>
      <c r="C259">
        <v>19</v>
      </c>
      <c r="D259">
        <v>2080</v>
      </c>
      <c r="E259">
        <v>1844</v>
      </c>
    </row>
    <row r="260" spans="1:5" x14ac:dyDescent="0.3">
      <c r="A260" s="12">
        <v>43967</v>
      </c>
      <c r="B260" t="s">
        <v>23</v>
      </c>
      <c r="C260">
        <v>16</v>
      </c>
      <c r="D260">
        <v>920</v>
      </c>
      <c r="E260">
        <v>818</v>
      </c>
    </row>
    <row r="261" spans="1:5" x14ac:dyDescent="0.3">
      <c r="A261" s="12">
        <v>43967</v>
      </c>
      <c r="B261" t="s">
        <v>18</v>
      </c>
      <c r="C261">
        <v>15</v>
      </c>
      <c r="D261">
        <v>1111</v>
      </c>
      <c r="E261">
        <v>992</v>
      </c>
    </row>
    <row r="262" spans="1:5" x14ac:dyDescent="0.3">
      <c r="A262" s="12">
        <v>43967</v>
      </c>
      <c r="B262" t="s">
        <v>19</v>
      </c>
      <c r="C262">
        <v>15</v>
      </c>
      <c r="D262">
        <v>747</v>
      </c>
      <c r="E262">
        <v>647</v>
      </c>
    </row>
    <row r="263" spans="1:5" x14ac:dyDescent="0.3">
      <c r="A263" s="12">
        <v>43967</v>
      </c>
      <c r="B263" t="s">
        <v>15</v>
      </c>
      <c r="C263">
        <v>125</v>
      </c>
      <c r="D263">
        <v>22291</v>
      </c>
      <c r="E263">
        <v>20635</v>
      </c>
    </row>
    <row r="264" spans="1:5" x14ac:dyDescent="0.3">
      <c r="A264" s="12">
        <v>43967</v>
      </c>
      <c r="B264" t="s">
        <v>14</v>
      </c>
      <c r="C264">
        <v>129</v>
      </c>
      <c r="D264">
        <v>17914</v>
      </c>
      <c r="E264">
        <v>16631</v>
      </c>
    </row>
    <row r="265" spans="1:5" x14ac:dyDescent="0.3">
      <c r="A265" s="12">
        <v>43967</v>
      </c>
      <c r="B265" t="s">
        <v>12</v>
      </c>
      <c r="C265">
        <v>10</v>
      </c>
      <c r="D265">
        <v>760</v>
      </c>
      <c r="E265">
        <v>672</v>
      </c>
    </row>
    <row r="266" spans="1:5" x14ac:dyDescent="0.3">
      <c r="A266" s="12">
        <v>43968</v>
      </c>
      <c r="B266" t="s">
        <v>16</v>
      </c>
      <c r="C266">
        <v>36</v>
      </c>
      <c r="D266">
        <v>4918</v>
      </c>
      <c r="E266">
        <v>4554</v>
      </c>
    </row>
    <row r="267" spans="1:5" x14ac:dyDescent="0.3">
      <c r="A267" s="12">
        <v>43968</v>
      </c>
      <c r="B267" t="s">
        <v>11</v>
      </c>
      <c r="C267">
        <v>31</v>
      </c>
      <c r="D267">
        <v>5206</v>
      </c>
      <c r="E267">
        <v>4843</v>
      </c>
    </row>
    <row r="268" spans="1:5" x14ac:dyDescent="0.3">
      <c r="A268" s="12">
        <v>43968</v>
      </c>
      <c r="B268" t="s">
        <v>17</v>
      </c>
      <c r="C268">
        <v>21</v>
      </c>
      <c r="D268">
        <v>2054</v>
      </c>
      <c r="E268">
        <v>1883</v>
      </c>
    </row>
    <row r="269" spans="1:5" x14ac:dyDescent="0.3">
      <c r="A269" s="12">
        <v>43968</v>
      </c>
      <c r="B269" t="s">
        <v>10</v>
      </c>
      <c r="C269">
        <v>21</v>
      </c>
      <c r="D269">
        <v>1874</v>
      </c>
      <c r="E269">
        <v>1705</v>
      </c>
    </row>
    <row r="270" spans="1:5" x14ac:dyDescent="0.3">
      <c r="A270" s="12">
        <v>43968</v>
      </c>
      <c r="B270" t="s">
        <v>20</v>
      </c>
      <c r="C270">
        <v>19</v>
      </c>
      <c r="D270">
        <v>1790</v>
      </c>
      <c r="E270">
        <v>1633</v>
      </c>
    </row>
    <row r="271" spans="1:5" x14ac:dyDescent="0.3">
      <c r="A271" s="12">
        <v>43968</v>
      </c>
      <c r="B271" t="s">
        <v>22</v>
      </c>
      <c r="C271">
        <v>54</v>
      </c>
      <c r="D271">
        <v>11128</v>
      </c>
      <c r="E271">
        <v>10467</v>
      </c>
    </row>
    <row r="272" spans="1:5" x14ac:dyDescent="0.3">
      <c r="A272" s="12">
        <v>43968</v>
      </c>
      <c r="B272" t="s">
        <v>21</v>
      </c>
      <c r="C272">
        <v>60</v>
      </c>
      <c r="D272">
        <v>11698</v>
      </c>
      <c r="E272">
        <v>10989</v>
      </c>
    </row>
    <row r="273" spans="1:5" x14ac:dyDescent="0.3">
      <c r="A273" s="12">
        <v>43968</v>
      </c>
      <c r="B273" t="s">
        <v>13</v>
      </c>
      <c r="C273">
        <v>19</v>
      </c>
      <c r="D273">
        <v>1871</v>
      </c>
      <c r="E273">
        <v>1660</v>
      </c>
    </row>
    <row r="274" spans="1:5" x14ac:dyDescent="0.3">
      <c r="A274" s="12">
        <v>43968</v>
      </c>
      <c r="B274" t="s">
        <v>23</v>
      </c>
      <c r="C274">
        <v>16</v>
      </c>
      <c r="D274">
        <v>859</v>
      </c>
      <c r="E274">
        <v>746</v>
      </c>
    </row>
    <row r="275" spans="1:5" x14ac:dyDescent="0.3">
      <c r="A275" s="12">
        <v>43968</v>
      </c>
      <c r="B275" t="s">
        <v>18</v>
      </c>
      <c r="C275">
        <v>15</v>
      </c>
      <c r="D275">
        <v>971</v>
      </c>
      <c r="E275">
        <v>856</v>
      </c>
    </row>
    <row r="276" spans="1:5" x14ac:dyDescent="0.3">
      <c r="A276" s="12">
        <v>43968</v>
      </c>
      <c r="B276" t="s">
        <v>19</v>
      </c>
      <c r="C276">
        <v>15</v>
      </c>
      <c r="D276">
        <v>692</v>
      </c>
      <c r="E276">
        <v>591</v>
      </c>
    </row>
    <row r="277" spans="1:5" x14ac:dyDescent="0.3">
      <c r="A277" s="12">
        <v>43968</v>
      </c>
      <c r="B277" t="s">
        <v>15</v>
      </c>
      <c r="C277">
        <v>125</v>
      </c>
      <c r="D277">
        <v>20079</v>
      </c>
      <c r="E277">
        <v>18721</v>
      </c>
    </row>
    <row r="278" spans="1:5" x14ac:dyDescent="0.3">
      <c r="A278" s="12">
        <v>43968</v>
      </c>
      <c r="B278" t="s">
        <v>14</v>
      </c>
      <c r="C278">
        <v>129</v>
      </c>
      <c r="D278">
        <v>15744</v>
      </c>
      <c r="E278">
        <v>14685</v>
      </c>
    </row>
    <row r="279" spans="1:5" x14ac:dyDescent="0.3">
      <c r="A279" s="12">
        <v>43968</v>
      </c>
      <c r="B279" t="s">
        <v>12</v>
      </c>
      <c r="C279">
        <v>10</v>
      </c>
      <c r="D279">
        <v>591</v>
      </c>
      <c r="E279">
        <v>513</v>
      </c>
    </row>
    <row r="280" spans="1:5" x14ac:dyDescent="0.3">
      <c r="A280" s="12">
        <v>43969</v>
      </c>
      <c r="B280" t="s">
        <v>16</v>
      </c>
      <c r="C280">
        <v>36</v>
      </c>
      <c r="D280">
        <v>4885</v>
      </c>
      <c r="E280">
        <v>4502</v>
      </c>
    </row>
    <row r="281" spans="1:5" x14ac:dyDescent="0.3">
      <c r="A281" s="12">
        <v>43969</v>
      </c>
      <c r="B281" t="s">
        <v>11</v>
      </c>
      <c r="C281">
        <v>31</v>
      </c>
      <c r="D281">
        <v>5165</v>
      </c>
      <c r="E281">
        <v>4813</v>
      </c>
    </row>
    <row r="282" spans="1:5" x14ac:dyDescent="0.3">
      <c r="A282" s="12">
        <v>43969</v>
      </c>
      <c r="B282" t="s">
        <v>17</v>
      </c>
      <c r="C282">
        <v>21</v>
      </c>
      <c r="D282">
        <v>2136</v>
      </c>
      <c r="E282">
        <v>1947</v>
      </c>
    </row>
    <row r="283" spans="1:5" x14ac:dyDescent="0.3">
      <c r="A283" s="12">
        <v>43969</v>
      </c>
      <c r="B283" t="s">
        <v>10</v>
      </c>
      <c r="C283">
        <v>21</v>
      </c>
      <c r="D283">
        <v>1834</v>
      </c>
      <c r="E283">
        <v>1660</v>
      </c>
    </row>
    <row r="284" spans="1:5" x14ac:dyDescent="0.3">
      <c r="A284" s="12">
        <v>43969</v>
      </c>
      <c r="B284" t="s">
        <v>20</v>
      </c>
      <c r="C284">
        <v>19</v>
      </c>
      <c r="D284">
        <v>1741</v>
      </c>
      <c r="E284">
        <v>1597</v>
      </c>
    </row>
    <row r="285" spans="1:5" x14ac:dyDescent="0.3">
      <c r="A285" s="12">
        <v>43969</v>
      </c>
      <c r="B285" t="s">
        <v>22</v>
      </c>
      <c r="C285">
        <v>54</v>
      </c>
      <c r="D285">
        <v>12012</v>
      </c>
      <c r="E285">
        <v>11308</v>
      </c>
    </row>
    <row r="286" spans="1:5" x14ac:dyDescent="0.3">
      <c r="A286" s="12">
        <v>43969</v>
      </c>
      <c r="B286" t="s">
        <v>21</v>
      </c>
      <c r="C286">
        <v>60</v>
      </c>
      <c r="D286">
        <v>12460</v>
      </c>
      <c r="E286">
        <v>11665</v>
      </c>
    </row>
    <row r="287" spans="1:5" x14ac:dyDescent="0.3">
      <c r="A287" s="12">
        <v>43969</v>
      </c>
      <c r="B287" t="s">
        <v>13</v>
      </c>
      <c r="C287">
        <v>19</v>
      </c>
      <c r="D287">
        <v>1858</v>
      </c>
      <c r="E287">
        <v>1648</v>
      </c>
    </row>
    <row r="288" spans="1:5" x14ac:dyDescent="0.3">
      <c r="A288" s="12">
        <v>43969</v>
      </c>
      <c r="B288" t="s">
        <v>23</v>
      </c>
      <c r="C288">
        <v>16</v>
      </c>
      <c r="D288">
        <v>864</v>
      </c>
      <c r="E288">
        <v>765</v>
      </c>
    </row>
    <row r="289" spans="1:5" x14ac:dyDescent="0.3">
      <c r="A289" s="12">
        <v>43969</v>
      </c>
      <c r="B289" t="s">
        <v>18</v>
      </c>
      <c r="C289">
        <v>16</v>
      </c>
      <c r="D289">
        <v>925</v>
      </c>
      <c r="E289">
        <v>816</v>
      </c>
    </row>
    <row r="290" spans="1:5" x14ac:dyDescent="0.3">
      <c r="A290" s="12">
        <v>43969</v>
      </c>
      <c r="B290" t="s">
        <v>19</v>
      </c>
      <c r="C290">
        <v>15</v>
      </c>
      <c r="D290">
        <v>729</v>
      </c>
      <c r="E290">
        <v>636</v>
      </c>
    </row>
    <row r="291" spans="1:5" x14ac:dyDescent="0.3">
      <c r="A291" s="12">
        <v>43969</v>
      </c>
      <c r="B291" t="s">
        <v>15</v>
      </c>
      <c r="C291">
        <v>125</v>
      </c>
      <c r="D291">
        <v>20449</v>
      </c>
      <c r="E291">
        <v>19060</v>
      </c>
    </row>
    <row r="292" spans="1:5" x14ac:dyDescent="0.3">
      <c r="A292" s="12">
        <v>43969</v>
      </c>
      <c r="B292" t="s">
        <v>14</v>
      </c>
      <c r="C292">
        <v>129</v>
      </c>
      <c r="D292">
        <v>16110</v>
      </c>
      <c r="E292">
        <v>14992</v>
      </c>
    </row>
    <row r="293" spans="1:5" x14ac:dyDescent="0.3">
      <c r="A293" s="12">
        <v>43969</v>
      </c>
      <c r="B293" t="s">
        <v>12</v>
      </c>
      <c r="C293">
        <v>10</v>
      </c>
      <c r="D293">
        <v>645</v>
      </c>
      <c r="E293">
        <v>565</v>
      </c>
    </row>
    <row r="294" spans="1:5" x14ac:dyDescent="0.3">
      <c r="A294" s="12">
        <v>43970</v>
      </c>
      <c r="B294" t="s">
        <v>16</v>
      </c>
      <c r="C294">
        <v>36</v>
      </c>
      <c r="D294">
        <v>5094</v>
      </c>
      <c r="E294">
        <v>4716</v>
      </c>
    </row>
    <row r="295" spans="1:5" x14ac:dyDescent="0.3">
      <c r="A295" s="12">
        <v>43970</v>
      </c>
      <c r="B295" t="s">
        <v>11</v>
      </c>
      <c r="C295">
        <v>31</v>
      </c>
      <c r="D295">
        <v>5389</v>
      </c>
      <c r="E295">
        <v>5024</v>
      </c>
    </row>
    <row r="296" spans="1:5" x14ac:dyDescent="0.3">
      <c r="A296" s="12">
        <v>43970</v>
      </c>
      <c r="B296" t="s">
        <v>17</v>
      </c>
      <c r="C296">
        <v>21</v>
      </c>
      <c r="D296">
        <v>2245</v>
      </c>
      <c r="E296">
        <v>2053</v>
      </c>
    </row>
    <row r="297" spans="1:5" x14ac:dyDescent="0.3">
      <c r="A297" s="12">
        <v>43970</v>
      </c>
      <c r="B297" t="s">
        <v>10</v>
      </c>
      <c r="C297">
        <v>21</v>
      </c>
      <c r="D297">
        <v>1860</v>
      </c>
      <c r="E297">
        <v>1704</v>
      </c>
    </row>
    <row r="298" spans="1:5" x14ac:dyDescent="0.3">
      <c r="A298" s="12">
        <v>43970</v>
      </c>
      <c r="B298" t="s">
        <v>20</v>
      </c>
      <c r="C298">
        <v>19</v>
      </c>
      <c r="D298">
        <v>1831</v>
      </c>
      <c r="E298">
        <v>1667</v>
      </c>
    </row>
    <row r="299" spans="1:5" x14ac:dyDescent="0.3">
      <c r="A299" s="12">
        <v>43970</v>
      </c>
      <c r="B299" t="s">
        <v>22</v>
      </c>
      <c r="C299">
        <v>54</v>
      </c>
      <c r="D299">
        <v>13070</v>
      </c>
      <c r="E299">
        <v>12244</v>
      </c>
    </row>
    <row r="300" spans="1:5" x14ac:dyDescent="0.3">
      <c r="A300" s="12">
        <v>43970</v>
      </c>
      <c r="B300" t="s">
        <v>21</v>
      </c>
      <c r="C300">
        <v>60</v>
      </c>
      <c r="D300">
        <v>13867</v>
      </c>
      <c r="E300">
        <v>12987</v>
      </c>
    </row>
    <row r="301" spans="1:5" x14ac:dyDescent="0.3">
      <c r="A301" s="12">
        <v>43970</v>
      </c>
      <c r="B301" t="s">
        <v>13</v>
      </c>
      <c r="C301">
        <v>19</v>
      </c>
      <c r="D301">
        <v>1999</v>
      </c>
      <c r="E301">
        <v>1799</v>
      </c>
    </row>
    <row r="302" spans="1:5" x14ac:dyDescent="0.3">
      <c r="A302" s="12">
        <v>43970</v>
      </c>
      <c r="B302" t="s">
        <v>23</v>
      </c>
      <c r="C302">
        <v>17</v>
      </c>
      <c r="D302">
        <v>857</v>
      </c>
      <c r="E302">
        <v>757</v>
      </c>
    </row>
    <row r="303" spans="1:5" x14ac:dyDescent="0.3">
      <c r="A303" s="12">
        <v>43970</v>
      </c>
      <c r="B303" t="s">
        <v>18</v>
      </c>
      <c r="C303">
        <v>16</v>
      </c>
      <c r="D303">
        <v>1012</v>
      </c>
      <c r="E303">
        <v>900</v>
      </c>
    </row>
    <row r="304" spans="1:5" x14ac:dyDescent="0.3">
      <c r="A304" s="12">
        <v>43970</v>
      </c>
      <c r="B304" t="s">
        <v>19</v>
      </c>
      <c r="C304">
        <v>15</v>
      </c>
      <c r="D304">
        <v>930</v>
      </c>
      <c r="E304">
        <v>827</v>
      </c>
    </row>
    <row r="305" spans="1:5" x14ac:dyDescent="0.3">
      <c r="A305" s="12">
        <v>43970</v>
      </c>
      <c r="B305" t="s">
        <v>15</v>
      </c>
      <c r="C305">
        <v>125</v>
      </c>
      <c r="D305">
        <v>20771</v>
      </c>
      <c r="E305">
        <v>19338</v>
      </c>
    </row>
    <row r="306" spans="1:5" x14ac:dyDescent="0.3">
      <c r="A306" s="12">
        <v>43970</v>
      </c>
      <c r="B306" t="s">
        <v>14</v>
      </c>
      <c r="C306">
        <v>129</v>
      </c>
      <c r="D306">
        <v>16191</v>
      </c>
      <c r="E306">
        <v>15102</v>
      </c>
    </row>
    <row r="307" spans="1:5" x14ac:dyDescent="0.3">
      <c r="A307" s="12">
        <v>43970</v>
      </c>
      <c r="B307" t="s">
        <v>12</v>
      </c>
      <c r="C307">
        <v>10</v>
      </c>
      <c r="D307">
        <v>649</v>
      </c>
      <c r="E307">
        <v>568</v>
      </c>
    </row>
    <row r="308" spans="1:5" x14ac:dyDescent="0.3">
      <c r="A308" s="12">
        <v>43971</v>
      </c>
      <c r="B308" t="s">
        <v>16</v>
      </c>
      <c r="C308">
        <v>36</v>
      </c>
      <c r="D308">
        <v>5914</v>
      </c>
      <c r="E308">
        <v>5384</v>
      </c>
    </row>
    <row r="309" spans="1:5" x14ac:dyDescent="0.3">
      <c r="A309" s="12">
        <v>43971</v>
      </c>
      <c r="B309" t="s">
        <v>11</v>
      </c>
      <c r="C309">
        <v>31</v>
      </c>
      <c r="D309">
        <v>5698</v>
      </c>
      <c r="E309">
        <v>5258</v>
      </c>
    </row>
    <row r="310" spans="1:5" x14ac:dyDescent="0.3">
      <c r="A310" s="12">
        <v>43971</v>
      </c>
      <c r="B310" t="s">
        <v>17</v>
      </c>
      <c r="C310">
        <v>21</v>
      </c>
      <c r="D310">
        <v>2410</v>
      </c>
      <c r="E310">
        <v>2202</v>
      </c>
    </row>
    <row r="311" spans="1:5" x14ac:dyDescent="0.3">
      <c r="A311" s="12">
        <v>43971</v>
      </c>
      <c r="B311" t="s">
        <v>10</v>
      </c>
      <c r="C311">
        <v>21</v>
      </c>
      <c r="D311">
        <v>1921</v>
      </c>
      <c r="E311">
        <v>1767</v>
      </c>
    </row>
    <row r="312" spans="1:5" x14ac:dyDescent="0.3">
      <c r="A312" s="12">
        <v>43971</v>
      </c>
      <c r="B312" t="s">
        <v>20</v>
      </c>
      <c r="C312">
        <v>19</v>
      </c>
      <c r="D312">
        <v>1823</v>
      </c>
      <c r="E312">
        <v>1678</v>
      </c>
    </row>
    <row r="313" spans="1:5" x14ac:dyDescent="0.3">
      <c r="A313" s="12">
        <v>43971</v>
      </c>
      <c r="B313" t="s">
        <v>22</v>
      </c>
      <c r="C313">
        <v>54</v>
      </c>
      <c r="D313">
        <v>13298</v>
      </c>
      <c r="E313">
        <v>12428</v>
      </c>
    </row>
    <row r="314" spans="1:5" x14ac:dyDescent="0.3">
      <c r="A314" s="12">
        <v>43971</v>
      </c>
      <c r="B314" t="s">
        <v>21</v>
      </c>
      <c r="C314">
        <v>60</v>
      </c>
      <c r="D314">
        <v>13792</v>
      </c>
      <c r="E314">
        <v>12834</v>
      </c>
    </row>
    <row r="315" spans="1:5" x14ac:dyDescent="0.3">
      <c r="A315" s="12">
        <v>43971</v>
      </c>
      <c r="B315" t="s">
        <v>13</v>
      </c>
      <c r="C315">
        <v>19</v>
      </c>
      <c r="D315">
        <v>1889</v>
      </c>
      <c r="E315">
        <v>1690</v>
      </c>
    </row>
    <row r="316" spans="1:5" x14ac:dyDescent="0.3">
      <c r="A316" s="12">
        <v>43971</v>
      </c>
      <c r="B316" t="s">
        <v>23</v>
      </c>
      <c r="C316">
        <v>17</v>
      </c>
      <c r="D316">
        <v>890</v>
      </c>
      <c r="E316">
        <v>794</v>
      </c>
    </row>
    <row r="317" spans="1:5" x14ac:dyDescent="0.3">
      <c r="A317" s="12">
        <v>43971</v>
      </c>
      <c r="B317" t="s">
        <v>18</v>
      </c>
      <c r="C317">
        <v>16</v>
      </c>
      <c r="D317">
        <v>1050</v>
      </c>
      <c r="E317">
        <v>938</v>
      </c>
    </row>
    <row r="318" spans="1:5" x14ac:dyDescent="0.3">
      <c r="A318" s="12">
        <v>43971</v>
      </c>
      <c r="B318" t="s">
        <v>19</v>
      </c>
      <c r="C318">
        <v>15</v>
      </c>
      <c r="D318">
        <v>760</v>
      </c>
      <c r="E318">
        <v>664</v>
      </c>
    </row>
    <row r="319" spans="1:5" x14ac:dyDescent="0.3">
      <c r="A319" s="12">
        <v>43971</v>
      </c>
      <c r="B319" t="s">
        <v>15</v>
      </c>
      <c r="C319">
        <v>125</v>
      </c>
      <c r="D319">
        <v>21674</v>
      </c>
      <c r="E319">
        <v>20155</v>
      </c>
    </row>
    <row r="320" spans="1:5" x14ac:dyDescent="0.3">
      <c r="A320" s="12">
        <v>43971</v>
      </c>
      <c r="B320" t="s">
        <v>14</v>
      </c>
      <c r="C320">
        <v>129</v>
      </c>
      <c r="D320">
        <v>17095</v>
      </c>
      <c r="E320">
        <v>15919</v>
      </c>
    </row>
    <row r="321" spans="1:5" x14ac:dyDescent="0.3">
      <c r="A321" s="12">
        <v>43971</v>
      </c>
      <c r="B321" t="s">
        <v>12</v>
      </c>
      <c r="C321">
        <v>10</v>
      </c>
      <c r="D321">
        <v>745</v>
      </c>
      <c r="E321">
        <v>654</v>
      </c>
    </row>
    <row r="322" spans="1:5" x14ac:dyDescent="0.3">
      <c r="A322" s="12">
        <v>43972</v>
      </c>
      <c r="B322" t="s">
        <v>16</v>
      </c>
      <c r="C322">
        <v>36</v>
      </c>
      <c r="D322">
        <v>4816</v>
      </c>
      <c r="E322">
        <v>4452</v>
      </c>
    </row>
    <row r="323" spans="1:5" x14ac:dyDescent="0.3">
      <c r="A323" s="12">
        <v>43972</v>
      </c>
      <c r="B323" t="s">
        <v>11</v>
      </c>
      <c r="C323">
        <v>31</v>
      </c>
      <c r="D323">
        <v>5207</v>
      </c>
      <c r="E323">
        <v>4868</v>
      </c>
    </row>
    <row r="324" spans="1:5" x14ac:dyDescent="0.3">
      <c r="A324" s="12">
        <v>43972</v>
      </c>
      <c r="B324" t="s">
        <v>17</v>
      </c>
      <c r="C324">
        <v>21</v>
      </c>
      <c r="D324">
        <v>2335</v>
      </c>
      <c r="E324">
        <v>2126</v>
      </c>
    </row>
    <row r="325" spans="1:5" x14ac:dyDescent="0.3">
      <c r="A325" s="12">
        <v>43972</v>
      </c>
      <c r="B325" t="s">
        <v>10</v>
      </c>
      <c r="C325">
        <v>21</v>
      </c>
      <c r="D325">
        <v>1787</v>
      </c>
      <c r="E325">
        <v>1626</v>
      </c>
    </row>
    <row r="326" spans="1:5" x14ac:dyDescent="0.3">
      <c r="A326" s="12">
        <v>43972</v>
      </c>
      <c r="B326" t="s">
        <v>20</v>
      </c>
      <c r="C326">
        <v>19</v>
      </c>
      <c r="D326">
        <v>1650</v>
      </c>
      <c r="E326">
        <v>1505</v>
      </c>
    </row>
    <row r="327" spans="1:5" x14ac:dyDescent="0.3">
      <c r="A327" s="12">
        <v>43972</v>
      </c>
      <c r="B327" t="s">
        <v>22</v>
      </c>
      <c r="C327">
        <v>54</v>
      </c>
      <c r="D327">
        <v>13240</v>
      </c>
      <c r="E327">
        <v>12360</v>
      </c>
    </row>
    <row r="328" spans="1:5" x14ac:dyDescent="0.3">
      <c r="A328" s="12">
        <v>43972</v>
      </c>
      <c r="B328" t="s">
        <v>21</v>
      </c>
      <c r="C328">
        <v>60</v>
      </c>
      <c r="D328">
        <v>14005</v>
      </c>
      <c r="E328">
        <v>13002</v>
      </c>
    </row>
    <row r="329" spans="1:5" x14ac:dyDescent="0.3">
      <c r="A329" s="12">
        <v>43972</v>
      </c>
      <c r="B329" t="s">
        <v>13</v>
      </c>
      <c r="C329">
        <v>19</v>
      </c>
      <c r="D329">
        <v>1949</v>
      </c>
      <c r="E329">
        <v>1724</v>
      </c>
    </row>
    <row r="330" spans="1:5" x14ac:dyDescent="0.3">
      <c r="A330" s="12">
        <v>43972</v>
      </c>
      <c r="B330" t="s">
        <v>23</v>
      </c>
      <c r="C330">
        <v>18</v>
      </c>
      <c r="D330">
        <v>888</v>
      </c>
      <c r="E330">
        <v>786</v>
      </c>
    </row>
    <row r="331" spans="1:5" x14ac:dyDescent="0.3">
      <c r="A331" s="12">
        <v>43972</v>
      </c>
      <c r="B331" t="s">
        <v>18</v>
      </c>
      <c r="C331">
        <v>17</v>
      </c>
      <c r="D331">
        <v>1045</v>
      </c>
      <c r="E331">
        <v>930</v>
      </c>
    </row>
    <row r="332" spans="1:5" x14ac:dyDescent="0.3">
      <c r="A332" s="12">
        <v>43972</v>
      </c>
      <c r="B332" t="s">
        <v>19</v>
      </c>
      <c r="C332">
        <v>15</v>
      </c>
      <c r="D332">
        <v>749</v>
      </c>
      <c r="E332">
        <v>652</v>
      </c>
    </row>
    <row r="333" spans="1:5" x14ac:dyDescent="0.3">
      <c r="A333" s="12">
        <v>43972</v>
      </c>
      <c r="B333" t="s">
        <v>15</v>
      </c>
      <c r="C333">
        <v>125</v>
      </c>
      <c r="D333">
        <v>20911</v>
      </c>
      <c r="E333">
        <v>19358</v>
      </c>
    </row>
    <row r="334" spans="1:5" x14ac:dyDescent="0.3">
      <c r="A334" s="12">
        <v>43972</v>
      </c>
      <c r="B334" t="s">
        <v>14</v>
      </c>
      <c r="C334">
        <v>129</v>
      </c>
      <c r="D334">
        <v>16373</v>
      </c>
      <c r="E334">
        <v>15223</v>
      </c>
    </row>
    <row r="335" spans="1:5" x14ac:dyDescent="0.3">
      <c r="A335" s="12">
        <v>43972</v>
      </c>
      <c r="B335" t="s">
        <v>12</v>
      </c>
      <c r="C335">
        <v>10</v>
      </c>
      <c r="D335">
        <v>677</v>
      </c>
      <c r="E335">
        <v>591</v>
      </c>
    </row>
    <row r="336" spans="1:5" x14ac:dyDescent="0.3">
      <c r="A336" s="12">
        <v>43973</v>
      </c>
      <c r="B336" t="s">
        <v>16</v>
      </c>
      <c r="C336">
        <v>36</v>
      </c>
      <c r="D336">
        <v>4857</v>
      </c>
      <c r="E336">
        <v>4456</v>
      </c>
    </row>
    <row r="337" spans="1:5" x14ac:dyDescent="0.3">
      <c r="A337" s="12">
        <v>43973</v>
      </c>
      <c r="B337" t="s">
        <v>11</v>
      </c>
      <c r="C337">
        <v>31</v>
      </c>
      <c r="D337">
        <v>5965</v>
      </c>
      <c r="E337">
        <v>5533</v>
      </c>
    </row>
    <row r="338" spans="1:5" x14ac:dyDescent="0.3">
      <c r="A338" s="12">
        <v>43973</v>
      </c>
      <c r="B338" t="s">
        <v>17</v>
      </c>
      <c r="C338">
        <v>21</v>
      </c>
      <c r="D338">
        <v>2861</v>
      </c>
      <c r="E338">
        <v>2612</v>
      </c>
    </row>
    <row r="339" spans="1:5" x14ac:dyDescent="0.3">
      <c r="A339" s="12">
        <v>43973</v>
      </c>
      <c r="B339" t="s">
        <v>10</v>
      </c>
      <c r="C339">
        <v>21</v>
      </c>
      <c r="D339">
        <v>2046</v>
      </c>
      <c r="E339">
        <v>1853</v>
      </c>
    </row>
    <row r="340" spans="1:5" x14ac:dyDescent="0.3">
      <c r="A340" s="12">
        <v>43973</v>
      </c>
      <c r="B340" t="s">
        <v>20</v>
      </c>
      <c r="C340">
        <v>19</v>
      </c>
      <c r="D340">
        <v>1859</v>
      </c>
      <c r="E340">
        <v>1697</v>
      </c>
    </row>
    <row r="341" spans="1:5" x14ac:dyDescent="0.3">
      <c r="A341" s="12">
        <v>43973</v>
      </c>
      <c r="B341" t="s">
        <v>22</v>
      </c>
      <c r="C341">
        <v>54</v>
      </c>
      <c r="D341">
        <v>13014</v>
      </c>
      <c r="E341">
        <v>12095</v>
      </c>
    </row>
    <row r="342" spans="1:5" x14ac:dyDescent="0.3">
      <c r="A342" s="12">
        <v>43973</v>
      </c>
      <c r="B342" t="s">
        <v>21</v>
      </c>
      <c r="C342">
        <v>60</v>
      </c>
      <c r="D342">
        <v>14050</v>
      </c>
      <c r="E342">
        <v>13027</v>
      </c>
    </row>
    <row r="343" spans="1:5" x14ac:dyDescent="0.3">
      <c r="A343" s="12">
        <v>43973</v>
      </c>
      <c r="B343" t="s">
        <v>13</v>
      </c>
      <c r="C343">
        <v>20</v>
      </c>
      <c r="D343">
        <v>2306</v>
      </c>
      <c r="E343">
        <v>2054</v>
      </c>
    </row>
    <row r="344" spans="1:5" x14ac:dyDescent="0.3">
      <c r="A344" s="12">
        <v>43973</v>
      </c>
      <c r="B344" t="s">
        <v>23</v>
      </c>
      <c r="C344">
        <v>18</v>
      </c>
      <c r="D344">
        <v>985</v>
      </c>
      <c r="E344">
        <v>861</v>
      </c>
    </row>
    <row r="345" spans="1:5" x14ac:dyDescent="0.3">
      <c r="A345" s="12">
        <v>43973</v>
      </c>
      <c r="B345" t="s">
        <v>18</v>
      </c>
      <c r="C345">
        <v>17</v>
      </c>
      <c r="D345">
        <v>1268</v>
      </c>
      <c r="E345">
        <v>1129</v>
      </c>
    </row>
    <row r="346" spans="1:5" x14ac:dyDescent="0.3">
      <c r="A346" s="12">
        <v>43973</v>
      </c>
      <c r="B346" t="s">
        <v>19</v>
      </c>
      <c r="C346">
        <v>15</v>
      </c>
      <c r="D346">
        <v>903</v>
      </c>
      <c r="E346">
        <v>792</v>
      </c>
    </row>
    <row r="347" spans="1:5" x14ac:dyDescent="0.3">
      <c r="A347" s="12">
        <v>43973</v>
      </c>
      <c r="B347" t="s">
        <v>15</v>
      </c>
      <c r="C347">
        <v>125</v>
      </c>
      <c r="D347">
        <v>21427</v>
      </c>
      <c r="E347">
        <v>19799</v>
      </c>
    </row>
    <row r="348" spans="1:5" x14ac:dyDescent="0.3">
      <c r="A348" s="12">
        <v>43973</v>
      </c>
      <c r="B348" t="s">
        <v>14</v>
      </c>
      <c r="C348">
        <v>129</v>
      </c>
      <c r="D348">
        <v>17088</v>
      </c>
      <c r="E348">
        <v>15804</v>
      </c>
    </row>
    <row r="349" spans="1:5" x14ac:dyDescent="0.3">
      <c r="A349" s="12">
        <v>43973</v>
      </c>
      <c r="B349" t="s">
        <v>12</v>
      </c>
      <c r="C349">
        <v>10</v>
      </c>
      <c r="D349">
        <v>965</v>
      </c>
      <c r="E349">
        <v>861</v>
      </c>
    </row>
    <row r="350" spans="1:5" x14ac:dyDescent="0.3">
      <c r="A350" s="12">
        <v>43974</v>
      </c>
      <c r="B350" t="s">
        <v>16</v>
      </c>
      <c r="C350">
        <v>36</v>
      </c>
      <c r="D350">
        <v>5651</v>
      </c>
      <c r="E350">
        <v>5212</v>
      </c>
    </row>
    <row r="351" spans="1:5" x14ac:dyDescent="0.3">
      <c r="A351" s="12">
        <v>43974</v>
      </c>
      <c r="B351" t="s">
        <v>11</v>
      </c>
      <c r="C351">
        <v>31</v>
      </c>
      <c r="D351">
        <v>6276</v>
      </c>
      <c r="E351">
        <v>5801</v>
      </c>
    </row>
    <row r="352" spans="1:5" x14ac:dyDescent="0.3">
      <c r="A352" s="12">
        <v>43974</v>
      </c>
      <c r="B352" t="s">
        <v>17</v>
      </c>
      <c r="C352">
        <v>21</v>
      </c>
      <c r="D352">
        <v>2460</v>
      </c>
      <c r="E352">
        <v>2226</v>
      </c>
    </row>
    <row r="353" spans="1:5" x14ac:dyDescent="0.3">
      <c r="A353" s="12">
        <v>43974</v>
      </c>
      <c r="B353" t="s">
        <v>10</v>
      </c>
      <c r="C353">
        <v>21</v>
      </c>
      <c r="D353">
        <v>2340</v>
      </c>
      <c r="E353">
        <v>2146</v>
      </c>
    </row>
    <row r="354" spans="1:5" x14ac:dyDescent="0.3">
      <c r="A354" s="12">
        <v>43974</v>
      </c>
      <c r="B354" t="s">
        <v>20</v>
      </c>
      <c r="C354">
        <v>19</v>
      </c>
      <c r="D354">
        <v>2195</v>
      </c>
      <c r="E354">
        <v>1999</v>
      </c>
    </row>
    <row r="355" spans="1:5" x14ac:dyDescent="0.3">
      <c r="A355" s="12">
        <v>43974</v>
      </c>
      <c r="B355" t="s">
        <v>22</v>
      </c>
      <c r="C355">
        <v>54</v>
      </c>
      <c r="D355">
        <v>16221</v>
      </c>
      <c r="E355">
        <v>15065</v>
      </c>
    </row>
    <row r="356" spans="1:5" x14ac:dyDescent="0.3">
      <c r="A356" s="12">
        <v>43974</v>
      </c>
      <c r="B356" t="s">
        <v>21</v>
      </c>
      <c r="C356">
        <v>60</v>
      </c>
      <c r="D356">
        <v>17295</v>
      </c>
      <c r="E356">
        <v>16010</v>
      </c>
    </row>
    <row r="357" spans="1:5" x14ac:dyDescent="0.3">
      <c r="A357" s="12">
        <v>43974</v>
      </c>
      <c r="B357" t="s">
        <v>13</v>
      </c>
      <c r="C357">
        <v>20</v>
      </c>
      <c r="D357">
        <v>2266</v>
      </c>
      <c r="E357">
        <v>1993</v>
      </c>
    </row>
    <row r="358" spans="1:5" x14ac:dyDescent="0.3">
      <c r="A358" s="12">
        <v>43974</v>
      </c>
      <c r="B358" t="s">
        <v>23</v>
      </c>
      <c r="C358">
        <v>18</v>
      </c>
      <c r="D358">
        <v>1031</v>
      </c>
      <c r="E358">
        <v>918</v>
      </c>
    </row>
    <row r="359" spans="1:5" x14ac:dyDescent="0.3">
      <c r="A359" s="12">
        <v>43974</v>
      </c>
      <c r="B359" t="s">
        <v>18</v>
      </c>
      <c r="C359">
        <v>17</v>
      </c>
      <c r="D359">
        <v>1294</v>
      </c>
      <c r="E359">
        <v>1155</v>
      </c>
    </row>
    <row r="360" spans="1:5" x14ac:dyDescent="0.3">
      <c r="A360" s="12">
        <v>43974</v>
      </c>
      <c r="B360" t="s">
        <v>19</v>
      </c>
      <c r="C360">
        <v>15</v>
      </c>
      <c r="D360">
        <v>840</v>
      </c>
      <c r="E360">
        <v>725</v>
      </c>
    </row>
    <row r="361" spans="1:5" x14ac:dyDescent="0.3">
      <c r="A361" s="12">
        <v>43974</v>
      </c>
      <c r="B361" t="s">
        <v>15</v>
      </c>
      <c r="C361">
        <v>125</v>
      </c>
      <c r="D361">
        <v>24574</v>
      </c>
      <c r="E361">
        <v>22609</v>
      </c>
    </row>
    <row r="362" spans="1:5" x14ac:dyDescent="0.3">
      <c r="A362" s="12">
        <v>43974</v>
      </c>
      <c r="B362" t="s">
        <v>14</v>
      </c>
      <c r="C362">
        <v>129</v>
      </c>
      <c r="D362">
        <v>19856</v>
      </c>
      <c r="E362">
        <v>18325</v>
      </c>
    </row>
    <row r="363" spans="1:5" x14ac:dyDescent="0.3">
      <c r="A363" s="12">
        <v>43974</v>
      </c>
      <c r="B363" t="s">
        <v>12</v>
      </c>
      <c r="C363">
        <v>10</v>
      </c>
      <c r="D363">
        <v>828</v>
      </c>
      <c r="E363">
        <v>734</v>
      </c>
    </row>
    <row r="364" spans="1:5" x14ac:dyDescent="0.3">
      <c r="A364" s="12">
        <v>43975</v>
      </c>
      <c r="B364" t="s">
        <v>16</v>
      </c>
      <c r="C364">
        <v>36</v>
      </c>
      <c r="D364">
        <v>4915</v>
      </c>
      <c r="E364">
        <v>4562</v>
      </c>
    </row>
    <row r="365" spans="1:5" x14ac:dyDescent="0.3">
      <c r="A365" s="12">
        <v>43975</v>
      </c>
      <c r="B365" t="s">
        <v>11</v>
      </c>
      <c r="C365">
        <v>31</v>
      </c>
      <c r="D365">
        <v>5035</v>
      </c>
      <c r="E365">
        <v>4683</v>
      </c>
    </row>
    <row r="366" spans="1:5" x14ac:dyDescent="0.3">
      <c r="A366" s="12">
        <v>43975</v>
      </c>
      <c r="B366" t="s">
        <v>17</v>
      </c>
      <c r="C366">
        <v>21</v>
      </c>
      <c r="D366">
        <v>2254</v>
      </c>
      <c r="E366">
        <v>2061</v>
      </c>
    </row>
    <row r="367" spans="1:5" x14ac:dyDescent="0.3">
      <c r="A367" s="12">
        <v>43975</v>
      </c>
      <c r="B367" t="s">
        <v>10</v>
      </c>
      <c r="C367">
        <v>20</v>
      </c>
      <c r="D367">
        <v>1999</v>
      </c>
      <c r="E367">
        <v>1829</v>
      </c>
    </row>
    <row r="368" spans="1:5" x14ac:dyDescent="0.3">
      <c r="A368" s="12">
        <v>43975</v>
      </c>
      <c r="B368" t="s">
        <v>20</v>
      </c>
      <c r="C368">
        <v>19</v>
      </c>
      <c r="D368">
        <v>1868</v>
      </c>
      <c r="E368">
        <v>1706</v>
      </c>
    </row>
    <row r="369" spans="1:5" x14ac:dyDescent="0.3">
      <c r="A369" s="12">
        <v>43975</v>
      </c>
      <c r="B369" t="s">
        <v>22</v>
      </c>
      <c r="C369">
        <v>54</v>
      </c>
      <c r="D369">
        <v>12211</v>
      </c>
      <c r="E369">
        <v>11427</v>
      </c>
    </row>
    <row r="370" spans="1:5" x14ac:dyDescent="0.3">
      <c r="A370" s="12">
        <v>43975</v>
      </c>
      <c r="B370" t="s">
        <v>21</v>
      </c>
      <c r="C370">
        <v>60</v>
      </c>
      <c r="D370">
        <v>12822</v>
      </c>
      <c r="E370">
        <v>11916</v>
      </c>
    </row>
    <row r="371" spans="1:5" x14ac:dyDescent="0.3">
      <c r="A371" s="12">
        <v>43975</v>
      </c>
      <c r="B371" t="s">
        <v>13</v>
      </c>
      <c r="C371">
        <v>20</v>
      </c>
      <c r="D371">
        <v>2015</v>
      </c>
      <c r="E371">
        <v>1803</v>
      </c>
    </row>
    <row r="372" spans="1:5" x14ac:dyDescent="0.3">
      <c r="A372" s="12">
        <v>43975</v>
      </c>
      <c r="B372" t="s">
        <v>23</v>
      </c>
      <c r="C372">
        <v>18</v>
      </c>
      <c r="D372">
        <v>1006</v>
      </c>
      <c r="E372">
        <v>904</v>
      </c>
    </row>
    <row r="373" spans="1:5" x14ac:dyDescent="0.3">
      <c r="A373" s="12">
        <v>43975</v>
      </c>
      <c r="B373" t="s">
        <v>18</v>
      </c>
      <c r="C373">
        <v>17</v>
      </c>
      <c r="D373">
        <v>1128</v>
      </c>
      <c r="E373">
        <v>1001</v>
      </c>
    </row>
    <row r="374" spans="1:5" x14ac:dyDescent="0.3">
      <c r="A374" s="12">
        <v>43975</v>
      </c>
      <c r="B374" t="s">
        <v>19</v>
      </c>
      <c r="C374">
        <v>15</v>
      </c>
      <c r="D374">
        <v>779</v>
      </c>
      <c r="E374">
        <v>673</v>
      </c>
    </row>
    <row r="375" spans="1:5" x14ac:dyDescent="0.3">
      <c r="A375" s="12">
        <v>43975</v>
      </c>
      <c r="B375" t="s">
        <v>15</v>
      </c>
      <c r="C375">
        <v>125</v>
      </c>
      <c r="D375">
        <v>21004</v>
      </c>
      <c r="E375">
        <v>19556</v>
      </c>
    </row>
    <row r="376" spans="1:5" x14ac:dyDescent="0.3">
      <c r="A376" s="12">
        <v>43975</v>
      </c>
      <c r="B376" t="s">
        <v>14</v>
      </c>
      <c r="C376">
        <v>129</v>
      </c>
      <c r="D376">
        <v>16432</v>
      </c>
      <c r="E376">
        <v>15345</v>
      </c>
    </row>
    <row r="377" spans="1:5" x14ac:dyDescent="0.3">
      <c r="A377" s="12">
        <v>43975</v>
      </c>
      <c r="B377" t="s">
        <v>12</v>
      </c>
      <c r="C377">
        <v>10</v>
      </c>
      <c r="D377">
        <v>639</v>
      </c>
      <c r="E377">
        <v>557</v>
      </c>
    </row>
    <row r="378" spans="1:5" x14ac:dyDescent="0.3">
      <c r="A378" s="12">
        <v>43976</v>
      </c>
      <c r="B378" t="s">
        <v>16</v>
      </c>
      <c r="C378">
        <v>36</v>
      </c>
      <c r="D378">
        <v>4641</v>
      </c>
      <c r="E378">
        <v>4274</v>
      </c>
    </row>
    <row r="379" spans="1:5" x14ac:dyDescent="0.3">
      <c r="A379" s="12">
        <v>43976</v>
      </c>
      <c r="B379" t="s">
        <v>11</v>
      </c>
      <c r="C379">
        <v>31</v>
      </c>
      <c r="D379">
        <v>5210</v>
      </c>
      <c r="E379">
        <v>4841</v>
      </c>
    </row>
    <row r="380" spans="1:5" x14ac:dyDescent="0.3">
      <c r="A380" s="12">
        <v>43976</v>
      </c>
      <c r="B380" t="s">
        <v>17</v>
      </c>
      <c r="C380">
        <v>21</v>
      </c>
      <c r="D380">
        <v>2330</v>
      </c>
      <c r="E380">
        <v>2142</v>
      </c>
    </row>
    <row r="381" spans="1:5" x14ac:dyDescent="0.3">
      <c r="A381" s="12">
        <v>43976</v>
      </c>
      <c r="B381" t="s">
        <v>10</v>
      </c>
      <c r="C381">
        <v>20</v>
      </c>
      <c r="D381">
        <v>2087</v>
      </c>
      <c r="E381">
        <v>1914</v>
      </c>
    </row>
    <row r="382" spans="1:5" x14ac:dyDescent="0.3">
      <c r="A382" s="12">
        <v>43976</v>
      </c>
      <c r="B382" t="s">
        <v>20</v>
      </c>
      <c r="C382">
        <v>20</v>
      </c>
      <c r="D382">
        <v>1899</v>
      </c>
      <c r="E382">
        <v>1738</v>
      </c>
    </row>
    <row r="383" spans="1:5" x14ac:dyDescent="0.3">
      <c r="A383" s="12">
        <v>43976</v>
      </c>
      <c r="B383" t="s">
        <v>22</v>
      </c>
      <c r="C383">
        <v>54</v>
      </c>
      <c r="D383">
        <v>12336</v>
      </c>
      <c r="E383">
        <v>11519</v>
      </c>
    </row>
    <row r="384" spans="1:5" x14ac:dyDescent="0.3">
      <c r="A384" s="12">
        <v>43976</v>
      </c>
      <c r="B384" t="s">
        <v>21</v>
      </c>
      <c r="C384">
        <v>59</v>
      </c>
      <c r="D384">
        <v>12983</v>
      </c>
      <c r="E384">
        <v>12056</v>
      </c>
    </row>
    <row r="385" spans="1:5" x14ac:dyDescent="0.3">
      <c r="A385" s="12">
        <v>43976</v>
      </c>
      <c r="B385" t="s">
        <v>13</v>
      </c>
      <c r="C385">
        <v>20</v>
      </c>
      <c r="D385">
        <v>2011</v>
      </c>
      <c r="E385">
        <v>1791</v>
      </c>
    </row>
    <row r="386" spans="1:5" x14ac:dyDescent="0.3">
      <c r="A386" s="12">
        <v>43976</v>
      </c>
      <c r="B386" t="s">
        <v>23</v>
      </c>
      <c r="C386">
        <v>18</v>
      </c>
      <c r="D386">
        <v>989</v>
      </c>
      <c r="E386">
        <v>887</v>
      </c>
    </row>
    <row r="387" spans="1:5" x14ac:dyDescent="0.3">
      <c r="A387" s="12">
        <v>43976</v>
      </c>
      <c r="B387" t="s">
        <v>18</v>
      </c>
      <c r="C387">
        <v>17</v>
      </c>
      <c r="D387">
        <v>1142</v>
      </c>
      <c r="E387">
        <v>1020</v>
      </c>
    </row>
    <row r="388" spans="1:5" x14ac:dyDescent="0.3">
      <c r="A388" s="12">
        <v>43976</v>
      </c>
      <c r="B388" t="s">
        <v>19</v>
      </c>
      <c r="C388">
        <v>15</v>
      </c>
      <c r="D388">
        <v>835</v>
      </c>
      <c r="E388">
        <v>736</v>
      </c>
    </row>
    <row r="389" spans="1:5" x14ac:dyDescent="0.3">
      <c r="A389" s="12">
        <v>43976</v>
      </c>
      <c r="B389" t="s">
        <v>15</v>
      </c>
      <c r="C389">
        <v>124</v>
      </c>
      <c r="D389">
        <v>20358</v>
      </c>
      <c r="E389">
        <v>18890</v>
      </c>
    </row>
    <row r="390" spans="1:5" x14ac:dyDescent="0.3">
      <c r="A390" s="12">
        <v>43976</v>
      </c>
      <c r="B390" t="s">
        <v>14</v>
      </c>
      <c r="C390">
        <v>129</v>
      </c>
      <c r="D390">
        <v>15822</v>
      </c>
      <c r="E390">
        <v>14753</v>
      </c>
    </row>
    <row r="391" spans="1:5" x14ac:dyDescent="0.3">
      <c r="A391" s="12">
        <v>43976</v>
      </c>
      <c r="B391" t="s">
        <v>12</v>
      </c>
      <c r="C391">
        <v>10</v>
      </c>
      <c r="D391">
        <v>739</v>
      </c>
      <c r="E391">
        <v>642</v>
      </c>
    </row>
    <row r="392" spans="1:5" x14ac:dyDescent="0.3">
      <c r="A392" s="12">
        <v>43977</v>
      </c>
      <c r="B392" t="s">
        <v>16</v>
      </c>
      <c r="C392">
        <v>36</v>
      </c>
      <c r="D392">
        <v>4770</v>
      </c>
      <c r="E392">
        <v>4424</v>
      </c>
    </row>
    <row r="393" spans="1:5" x14ac:dyDescent="0.3">
      <c r="A393" s="12">
        <v>43977</v>
      </c>
      <c r="B393" t="s">
        <v>11</v>
      </c>
      <c r="C393">
        <v>31</v>
      </c>
      <c r="D393">
        <v>5493</v>
      </c>
      <c r="E393">
        <v>5119</v>
      </c>
    </row>
    <row r="394" spans="1:5" x14ac:dyDescent="0.3">
      <c r="A394" s="12">
        <v>43977</v>
      </c>
      <c r="B394" t="s">
        <v>17</v>
      </c>
      <c r="C394">
        <v>21</v>
      </c>
      <c r="D394">
        <v>2418</v>
      </c>
      <c r="E394">
        <v>2215</v>
      </c>
    </row>
    <row r="395" spans="1:5" x14ac:dyDescent="0.3">
      <c r="A395" s="12">
        <v>43977</v>
      </c>
      <c r="B395" t="s">
        <v>10</v>
      </c>
      <c r="C395">
        <v>20</v>
      </c>
      <c r="D395">
        <v>2044</v>
      </c>
      <c r="E395">
        <v>1863</v>
      </c>
    </row>
    <row r="396" spans="1:5" x14ac:dyDescent="0.3">
      <c r="A396" s="12">
        <v>43977</v>
      </c>
      <c r="B396" t="s">
        <v>20</v>
      </c>
      <c r="C396">
        <v>20</v>
      </c>
      <c r="D396">
        <v>1814</v>
      </c>
      <c r="E396">
        <v>1655</v>
      </c>
    </row>
    <row r="397" spans="1:5" x14ac:dyDescent="0.3">
      <c r="A397" s="12">
        <v>43977</v>
      </c>
      <c r="B397" t="s">
        <v>22</v>
      </c>
      <c r="C397">
        <v>54</v>
      </c>
      <c r="D397">
        <v>14482</v>
      </c>
      <c r="E397">
        <v>13510</v>
      </c>
    </row>
    <row r="398" spans="1:5" x14ac:dyDescent="0.3">
      <c r="A398" s="12">
        <v>43977</v>
      </c>
      <c r="B398" t="s">
        <v>21</v>
      </c>
      <c r="C398">
        <v>59</v>
      </c>
      <c r="D398">
        <v>15369</v>
      </c>
      <c r="E398">
        <v>14299</v>
      </c>
    </row>
    <row r="399" spans="1:5" x14ac:dyDescent="0.3">
      <c r="A399" s="12">
        <v>43977</v>
      </c>
      <c r="B399" t="s">
        <v>13</v>
      </c>
      <c r="C399">
        <v>20</v>
      </c>
      <c r="D399">
        <v>2036</v>
      </c>
      <c r="E399">
        <v>1790</v>
      </c>
    </row>
    <row r="400" spans="1:5" x14ac:dyDescent="0.3">
      <c r="A400" s="12">
        <v>43977</v>
      </c>
      <c r="B400" t="s">
        <v>23</v>
      </c>
      <c r="C400">
        <v>18</v>
      </c>
      <c r="D400">
        <v>914</v>
      </c>
      <c r="E400">
        <v>804</v>
      </c>
    </row>
    <row r="401" spans="1:5" x14ac:dyDescent="0.3">
      <c r="A401" s="12">
        <v>43977</v>
      </c>
      <c r="B401" t="s">
        <v>18</v>
      </c>
      <c r="C401">
        <v>17</v>
      </c>
      <c r="D401">
        <v>1140</v>
      </c>
      <c r="E401">
        <v>1016</v>
      </c>
    </row>
    <row r="402" spans="1:5" x14ac:dyDescent="0.3">
      <c r="A402" s="12">
        <v>43977</v>
      </c>
      <c r="B402" t="s">
        <v>19</v>
      </c>
      <c r="C402">
        <v>15</v>
      </c>
      <c r="D402">
        <v>812</v>
      </c>
      <c r="E402">
        <v>711</v>
      </c>
    </row>
    <row r="403" spans="1:5" x14ac:dyDescent="0.3">
      <c r="A403" s="12">
        <v>43977</v>
      </c>
      <c r="B403" t="s">
        <v>15</v>
      </c>
      <c r="C403">
        <v>124</v>
      </c>
      <c r="D403">
        <v>21153</v>
      </c>
      <c r="E403">
        <v>19673</v>
      </c>
    </row>
    <row r="404" spans="1:5" x14ac:dyDescent="0.3">
      <c r="A404" s="12">
        <v>43977</v>
      </c>
      <c r="B404" t="s">
        <v>14</v>
      </c>
      <c r="C404">
        <v>129</v>
      </c>
      <c r="D404">
        <v>16459</v>
      </c>
      <c r="E404">
        <v>15355</v>
      </c>
    </row>
    <row r="405" spans="1:5" x14ac:dyDescent="0.3">
      <c r="A405" s="12">
        <v>43977</v>
      </c>
      <c r="B405" t="s">
        <v>12</v>
      </c>
      <c r="C405">
        <v>10</v>
      </c>
      <c r="D405">
        <v>692</v>
      </c>
      <c r="E405">
        <v>601</v>
      </c>
    </row>
    <row r="406" spans="1:5" x14ac:dyDescent="0.3">
      <c r="A406" s="12">
        <v>43977</v>
      </c>
      <c r="B406" t="s">
        <v>24</v>
      </c>
      <c r="C406">
        <v>7</v>
      </c>
      <c r="D406">
        <v>577</v>
      </c>
      <c r="E406">
        <v>389</v>
      </c>
    </row>
    <row r="407" spans="1:5" x14ac:dyDescent="0.3">
      <c r="A407" s="12">
        <v>43978</v>
      </c>
      <c r="B407" t="s">
        <v>16</v>
      </c>
      <c r="C407">
        <v>36</v>
      </c>
      <c r="D407">
        <v>4951</v>
      </c>
      <c r="E407">
        <v>4584</v>
      </c>
    </row>
    <row r="408" spans="1:5" x14ac:dyDescent="0.3">
      <c r="A408" s="12">
        <v>43978</v>
      </c>
      <c r="B408" t="s">
        <v>11</v>
      </c>
      <c r="C408">
        <v>31</v>
      </c>
      <c r="D408">
        <v>5330</v>
      </c>
      <c r="E408">
        <v>4977</v>
      </c>
    </row>
    <row r="409" spans="1:5" x14ac:dyDescent="0.3">
      <c r="A409" s="12">
        <v>43978</v>
      </c>
      <c r="B409" t="s">
        <v>17</v>
      </c>
      <c r="C409">
        <v>21</v>
      </c>
      <c r="D409">
        <v>2430</v>
      </c>
      <c r="E409">
        <v>2216</v>
      </c>
    </row>
    <row r="410" spans="1:5" x14ac:dyDescent="0.3">
      <c r="A410" s="12">
        <v>43978</v>
      </c>
      <c r="B410" t="s">
        <v>10</v>
      </c>
      <c r="C410">
        <v>20</v>
      </c>
      <c r="D410">
        <v>2079</v>
      </c>
      <c r="E410">
        <v>1893</v>
      </c>
    </row>
    <row r="411" spans="1:5" x14ac:dyDescent="0.3">
      <c r="A411" s="12">
        <v>43978</v>
      </c>
      <c r="B411" t="s">
        <v>20</v>
      </c>
      <c r="C411">
        <v>20</v>
      </c>
      <c r="D411">
        <v>1873</v>
      </c>
      <c r="E411">
        <v>1715</v>
      </c>
    </row>
    <row r="412" spans="1:5" x14ac:dyDescent="0.3">
      <c r="A412" s="12">
        <v>43978</v>
      </c>
      <c r="B412" t="s">
        <v>22</v>
      </c>
      <c r="C412">
        <v>54</v>
      </c>
      <c r="D412">
        <v>13091</v>
      </c>
      <c r="E412">
        <v>12216</v>
      </c>
    </row>
    <row r="413" spans="1:5" x14ac:dyDescent="0.3">
      <c r="A413" s="12">
        <v>43978</v>
      </c>
      <c r="B413" t="s">
        <v>21</v>
      </c>
      <c r="C413">
        <v>59</v>
      </c>
      <c r="D413">
        <v>13942</v>
      </c>
      <c r="E413">
        <v>12986</v>
      </c>
    </row>
    <row r="414" spans="1:5" x14ac:dyDescent="0.3">
      <c r="A414" s="12">
        <v>43978</v>
      </c>
      <c r="B414" t="s">
        <v>13</v>
      </c>
      <c r="C414">
        <v>20</v>
      </c>
      <c r="D414">
        <v>2079</v>
      </c>
      <c r="E414">
        <v>1856</v>
      </c>
    </row>
    <row r="415" spans="1:5" x14ac:dyDescent="0.3">
      <c r="A415" s="12">
        <v>43978</v>
      </c>
      <c r="B415" t="s">
        <v>23</v>
      </c>
      <c r="C415">
        <v>18</v>
      </c>
      <c r="D415">
        <v>962</v>
      </c>
      <c r="E415">
        <v>859</v>
      </c>
    </row>
    <row r="416" spans="1:5" x14ac:dyDescent="0.3">
      <c r="A416" s="12">
        <v>43978</v>
      </c>
      <c r="B416" t="s">
        <v>18</v>
      </c>
      <c r="C416">
        <v>17</v>
      </c>
      <c r="D416">
        <v>1203</v>
      </c>
      <c r="E416">
        <v>1077</v>
      </c>
    </row>
    <row r="417" spans="1:5" x14ac:dyDescent="0.3">
      <c r="A417" s="12">
        <v>43978</v>
      </c>
      <c r="B417" t="s">
        <v>19</v>
      </c>
      <c r="C417">
        <v>15</v>
      </c>
      <c r="D417">
        <v>809</v>
      </c>
      <c r="E417">
        <v>702</v>
      </c>
    </row>
    <row r="418" spans="1:5" x14ac:dyDescent="0.3">
      <c r="A418" s="12">
        <v>43978</v>
      </c>
      <c r="B418" t="s">
        <v>15</v>
      </c>
      <c r="C418">
        <v>124</v>
      </c>
      <c r="D418">
        <v>21384</v>
      </c>
      <c r="E418">
        <v>19897</v>
      </c>
    </row>
    <row r="419" spans="1:5" x14ac:dyDescent="0.3">
      <c r="A419" s="12">
        <v>43978</v>
      </c>
      <c r="B419" t="s">
        <v>14</v>
      </c>
      <c r="C419">
        <v>129</v>
      </c>
      <c r="D419">
        <v>17115</v>
      </c>
      <c r="E419">
        <v>15962</v>
      </c>
    </row>
    <row r="420" spans="1:5" x14ac:dyDescent="0.3">
      <c r="A420" s="12">
        <v>43978</v>
      </c>
      <c r="B420" t="s">
        <v>12</v>
      </c>
      <c r="C420">
        <v>10</v>
      </c>
      <c r="D420">
        <v>757</v>
      </c>
      <c r="E420">
        <v>660</v>
      </c>
    </row>
    <row r="421" spans="1:5" x14ac:dyDescent="0.3">
      <c r="A421" s="12">
        <v>43978</v>
      </c>
      <c r="B421" t="s">
        <v>24</v>
      </c>
      <c r="C421">
        <v>7</v>
      </c>
      <c r="D421">
        <v>409</v>
      </c>
      <c r="E421">
        <v>329</v>
      </c>
    </row>
    <row r="422" spans="1:5" x14ac:dyDescent="0.3">
      <c r="A422" s="12">
        <v>43979</v>
      </c>
      <c r="B422" t="s">
        <v>16</v>
      </c>
      <c r="C422">
        <v>37</v>
      </c>
      <c r="D422">
        <v>4840</v>
      </c>
      <c r="E422">
        <v>4475</v>
      </c>
    </row>
    <row r="423" spans="1:5" x14ac:dyDescent="0.3">
      <c r="A423" s="12">
        <v>43979</v>
      </c>
      <c r="B423" t="s">
        <v>11</v>
      </c>
      <c r="C423">
        <v>31</v>
      </c>
      <c r="D423">
        <v>5355</v>
      </c>
      <c r="E423">
        <v>4969</v>
      </c>
    </row>
    <row r="424" spans="1:5" x14ac:dyDescent="0.3">
      <c r="A424" s="12">
        <v>43979</v>
      </c>
      <c r="B424" t="s">
        <v>17</v>
      </c>
      <c r="C424">
        <v>22</v>
      </c>
      <c r="D424">
        <v>2454</v>
      </c>
      <c r="E424">
        <v>2239</v>
      </c>
    </row>
    <row r="425" spans="1:5" x14ac:dyDescent="0.3">
      <c r="A425" s="12">
        <v>43979</v>
      </c>
      <c r="B425" t="s">
        <v>10</v>
      </c>
      <c r="C425">
        <v>20</v>
      </c>
      <c r="D425">
        <v>1886</v>
      </c>
      <c r="E425">
        <v>1736</v>
      </c>
    </row>
    <row r="426" spans="1:5" x14ac:dyDescent="0.3">
      <c r="A426" s="12">
        <v>43979</v>
      </c>
      <c r="B426" t="s">
        <v>20</v>
      </c>
      <c r="C426">
        <v>20</v>
      </c>
      <c r="D426">
        <v>1875</v>
      </c>
      <c r="E426">
        <v>1701</v>
      </c>
    </row>
    <row r="427" spans="1:5" x14ac:dyDescent="0.3">
      <c r="A427" s="12">
        <v>43979</v>
      </c>
      <c r="B427" t="s">
        <v>22</v>
      </c>
      <c r="C427">
        <v>54</v>
      </c>
      <c r="D427">
        <v>12409</v>
      </c>
      <c r="E427">
        <v>11582</v>
      </c>
    </row>
    <row r="428" spans="1:5" x14ac:dyDescent="0.3">
      <c r="A428" s="12">
        <v>43979</v>
      </c>
      <c r="B428" t="s">
        <v>21</v>
      </c>
      <c r="C428">
        <v>60</v>
      </c>
      <c r="D428">
        <v>12854</v>
      </c>
      <c r="E428">
        <v>11954</v>
      </c>
    </row>
    <row r="429" spans="1:5" x14ac:dyDescent="0.3">
      <c r="A429" s="12">
        <v>43979</v>
      </c>
      <c r="B429" t="s">
        <v>13</v>
      </c>
      <c r="C429">
        <v>20</v>
      </c>
      <c r="D429">
        <v>2088</v>
      </c>
      <c r="E429">
        <v>1848</v>
      </c>
    </row>
    <row r="430" spans="1:5" x14ac:dyDescent="0.3">
      <c r="A430" s="12">
        <v>43979</v>
      </c>
      <c r="B430" t="s">
        <v>23</v>
      </c>
      <c r="C430">
        <v>18</v>
      </c>
      <c r="D430">
        <v>1020</v>
      </c>
      <c r="E430">
        <v>911</v>
      </c>
    </row>
    <row r="431" spans="1:5" x14ac:dyDescent="0.3">
      <c r="A431" s="12">
        <v>43979</v>
      </c>
      <c r="B431" t="s">
        <v>18</v>
      </c>
      <c r="C431">
        <v>17</v>
      </c>
      <c r="D431">
        <v>1097</v>
      </c>
      <c r="E431">
        <v>968</v>
      </c>
    </row>
    <row r="432" spans="1:5" x14ac:dyDescent="0.3">
      <c r="A432" s="12">
        <v>43979</v>
      </c>
      <c r="B432" t="s">
        <v>19</v>
      </c>
      <c r="C432">
        <v>16</v>
      </c>
      <c r="D432">
        <v>876</v>
      </c>
      <c r="E432">
        <v>762</v>
      </c>
    </row>
    <row r="433" spans="1:5" x14ac:dyDescent="0.3">
      <c r="A433" s="12">
        <v>43979</v>
      </c>
      <c r="B433" t="s">
        <v>9</v>
      </c>
      <c r="C433">
        <v>15</v>
      </c>
      <c r="D433">
        <v>464</v>
      </c>
      <c r="E433">
        <v>390</v>
      </c>
    </row>
    <row r="434" spans="1:5" x14ac:dyDescent="0.3">
      <c r="A434" s="12">
        <v>43979</v>
      </c>
      <c r="B434" t="s">
        <v>15</v>
      </c>
      <c r="C434">
        <v>124</v>
      </c>
      <c r="D434">
        <v>20868</v>
      </c>
      <c r="E434">
        <v>19342</v>
      </c>
    </row>
    <row r="435" spans="1:5" x14ac:dyDescent="0.3">
      <c r="A435" s="12">
        <v>43979</v>
      </c>
      <c r="B435" t="s">
        <v>14</v>
      </c>
      <c r="C435">
        <v>129</v>
      </c>
      <c r="D435">
        <v>16453</v>
      </c>
      <c r="E435">
        <v>15289</v>
      </c>
    </row>
    <row r="436" spans="1:5" x14ac:dyDescent="0.3">
      <c r="A436" s="12">
        <v>43979</v>
      </c>
      <c r="B436" t="s">
        <v>12</v>
      </c>
      <c r="C436">
        <v>10</v>
      </c>
      <c r="D436">
        <v>791</v>
      </c>
      <c r="E436">
        <v>697</v>
      </c>
    </row>
    <row r="437" spans="1:5" x14ac:dyDescent="0.3">
      <c r="A437" s="12">
        <v>43979</v>
      </c>
      <c r="B437" t="s">
        <v>24</v>
      </c>
      <c r="C437">
        <v>7</v>
      </c>
      <c r="D437">
        <v>420</v>
      </c>
      <c r="E437">
        <v>347</v>
      </c>
    </row>
    <row r="438" spans="1:5" x14ac:dyDescent="0.3">
      <c r="A438" s="12">
        <v>43980</v>
      </c>
      <c r="B438" t="s">
        <v>16</v>
      </c>
      <c r="C438">
        <v>37</v>
      </c>
      <c r="D438">
        <v>5672</v>
      </c>
      <c r="E438">
        <v>5198</v>
      </c>
    </row>
    <row r="439" spans="1:5" x14ac:dyDescent="0.3">
      <c r="A439" s="12">
        <v>43980</v>
      </c>
      <c r="B439" t="s">
        <v>11</v>
      </c>
      <c r="C439">
        <v>31</v>
      </c>
      <c r="D439">
        <v>5751</v>
      </c>
      <c r="E439">
        <v>5319</v>
      </c>
    </row>
    <row r="440" spans="1:5" x14ac:dyDescent="0.3">
      <c r="A440" s="12">
        <v>43980</v>
      </c>
      <c r="B440" t="s">
        <v>17</v>
      </c>
      <c r="C440">
        <v>22</v>
      </c>
      <c r="D440">
        <v>2597</v>
      </c>
      <c r="E440">
        <v>2379</v>
      </c>
    </row>
    <row r="441" spans="1:5" x14ac:dyDescent="0.3">
      <c r="A441" s="12">
        <v>43980</v>
      </c>
      <c r="B441" t="s">
        <v>10</v>
      </c>
      <c r="C441">
        <v>20</v>
      </c>
      <c r="D441">
        <v>2111</v>
      </c>
      <c r="E441">
        <v>1917</v>
      </c>
    </row>
    <row r="442" spans="1:5" x14ac:dyDescent="0.3">
      <c r="A442" s="12">
        <v>43980</v>
      </c>
      <c r="B442" t="s">
        <v>20</v>
      </c>
      <c r="C442">
        <v>20</v>
      </c>
      <c r="D442">
        <v>2064</v>
      </c>
      <c r="E442">
        <v>1896</v>
      </c>
    </row>
    <row r="443" spans="1:5" x14ac:dyDescent="0.3">
      <c r="A443" s="12">
        <v>43980</v>
      </c>
      <c r="B443" t="s">
        <v>22</v>
      </c>
      <c r="C443">
        <v>54</v>
      </c>
      <c r="D443">
        <v>14031</v>
      </c>
      <c r="E443">
        <v>12943</v>
      </c>
    </row>
    <row r="444" spans="1:5" x14ac:dyDescent="0.3">
      <c r="A444" s="12">
        <v>43980</v>
      </c>
      <c r="B444" t="s">
        <v>21</v>
      </c>
      <c r="C444">
        <v>59</v>
      </c>
      <c r="D444">
        <v>14507</v>
      </c>
      <c r="E444">
        <v>13386</v>
      </c>
    </row>
    <row r="445" spans="1:5" x14ac:dyDescent="0.3">
      <c r="A445" s="12">
        <v>43980</v>
      </c>
      <c r="B445" t="s">
        <v>13</v>
      </c>
      <c r="C445">
        <v>20</v>
      </c>
      <c r="D445">
        <v>2249</v>
      </c>
      <c r="E445">
        <v>2000</v>
      </c>
    </row>
    <row r="446" spans="1:5" x14ac:dyDescent="0.3">
      <c r="A446" s="12">
        <v>43980</v>
      </c>
      <c r="B446" t="s">
        <v>23</v>
      </c>
      <c r="C446">
        <v>18</v>
      </c>
      <c r="D446">
        <v>1014</v>
      </c>
      <c r="E446">
        <v>893</v>
      </c>
    </row>
    <row r="447" spans="1:5" x14ac:dyDescent="0.3">
      <c r="A447" s="12">
        <v>43980</v>
      </c>
      <c r="B447" t="s">
        <v>18</v>
      </c>
      <c r="C447">
        <v>17</v>
      </c>
      <c r="D447">
        <v>1296</v>
      </c>
      <c r="E447">
        <v>1153</v>
      </c>
    </row>
    <row r="448" spans="1:5" x14ac:dyDescent="0.3">
      <c r="A448" s="12">
        <v>43980</v>
      </c>
      <c r="B448" t="s">
        <v>19</v>
      </c>
      <c r="C448">
        <v>16</v>
      </c>
      <c r="D448">
        <v>981</v>
      </c>
      <c r="E448">
        <v>859</v>
      </c>
    </row>
    <row r="449" spans="1:5" x14ac:dyDescent="0.3">
      <c r="A449" s="12">
        <v>43980</v>
      </c>
      <c r="B449" t="s">
        <v>9</v>
      </c>
      <c r="C449">
        <v>15</v>
      </c>
      <c r="D449">
        <v>400</v>
      </c>
      <c r="E449">
        <v>329</v>
      </c>
    </row>
    <row r="450" spans="1:5" x14ac:dyDescent="0.3">
      <c r="A450" s="12">
        <v>43980</v>
      </c>
      <c r="B450" t="s">
        <v>15</v>
      </c>
      <c r="C450">
        <v>124</v>
      </c>
      <c r="D450">
        <v>25828</v>
      </c>
      <c r="E450">
        <v>23974</v>
      </c>
    </row>
    <row r="451" spans="1:5" x14ac:dyDescent="0.3">
      <c r="A451" s="12">
        <v>43980</v>
      </c>
      <c r="B451" t="s">
        <v>14</v>
      </c>
      <c r="C451">
        <v>129</v>
      </c>
      <c r="D451">
        <v>22403</v>
      </c>
      <c r="E451">
        <v>20676</v>
      </c>
    </row>
    <row r="452" spans="1:5" x14ac:dyDescent="0.3">
      <c r="A452" s="12">
        <v>43980</v>
      </c>
      <c r="B452" t="s">
        <v>12</v>
      </c>
      <c r="C452">
        <v>10</v>
      </c>
      <c r="D452">
        <v>873</v>
      </c>
      <c r="E452">
        <v>770</v>
      </c>
    </row>
    <row r="453" spans="1:5" x14ac:dyDescent="0.3">
      <c r="A453" s="12">
        <v>43980</v>
      </c>
      <c r="B453" t="s">
        <v>24</v>
      </c>
      <c r="C453">
        <v>7</v>
      </c>
      <c r="D453">
        <v>491</v>
      </c>
      <c r="E453">
        <v>411</v>
      </c>
    </row>
    <row r="454" spans="1:5" x14ac:dyDescent="0.3">
      <c r="A454" s="12">
        <v>43981</v>
      </c>
      <c r="B454" t="s">
        <v>16</v>
      </c>
      <c r="C454">
        <v>37</v>
      </c>
      <c r="D454">
        <v>6645</v>
      </c>
      <c r="E454">
        <v>6122</v>
      </c>
    </row>
    <row r="455" spans="1:5" x14ac:dyDescent="0.3">
      <c r="A455" s="12">
        <v>43981</v>
      </c>
      <c r="B455" t="s">
        <v>11</v>
      </c>
      <c r="C455">
        <v>31</v>
      </c>
      <c r="D455">
        <v>6735</v>
      </c>
      <c r="E455">
        <v>6264</v>
      </c>
    </row>
    <row r="456" spans="1:5" x14ac:dyDescent="0.3">
      <c r="A456" s="12">
        <v>43981</v>
      </c>
      <c r="B456" t="s">
        <v>17</v>
      </c>
      <c r="C456">
        <v>22</v>
      </c>
      <c r="D456">
        <v>2793</v>
      </c>
      <c r="E456">
        <v>2539</v>
      </c>
    </row>
    <row r="457" spans="1:5" x14ac:dyDescent="0.3">
      <c r="A457" s="12">
        <v>43981</v>
      </c>
      <c r="B457" t="s">
        <v>10</v>
      </c>
      <c r="C457">
        <v>20</v>
      </c>
      <c r="D457">
        <v>2597</v>
      </c>
      <c r="E457">
        <v>2376</v>
      </c>
    </row>
    <row r="458" spans="1:5" x14ac:dyDescent="0.3">
      <c r="A458" s="12">
        <v>43981</v>
      </c>
      <c r="B458" t="s">
        <v>20</v>
      </c>
      <c r="C458">
        <v>20</v>
      </c>
      <c r="D458">
        <v>2174</v>
      </c>
      <c r="E458">
        <v>1957</v>
      </c>
    </row>
    <row r="459" spans="1:5" x14ac:dyDescent="0.3">
      <c r="A459" s="12">
        <v>43981</v>
      </c>
      <c r="B459" t="s">
        <v>22</v>
      </c>
      <c r="C459">
        <v>54</v>
      </c>
      <c r="D459">
        <v>14590</v>
      </c>
      <c r="E459">
        <v>13551</v>
      </c>
    </row>
    <row r="460" spans="1:5" x14ac:dyDescent="0.3">
      <c r="A460" s="12">
        <v>43981</v>
      </c>
      <c r="B460" t="s">
        <v>21</v>
      </c>
      <c r="C460">
        <v>59</v>
      </c>
      <c r="D460">
        <v>15030</v>
      </c>
      <c r="E460">
        <v>13956</v>
      </c>
    </row>
    <row r="461" spans="1:5" x14ac:dyDescent="0.3">
      <c r="A461" s="12">
        <v>43981</v>
      </c>
      <c r="B461" t="s">
        <v>13</v>
      </c>
      <c r="C461">
        <v>20</v>
      </c>
      <c r="D461">
        <v>2451</v>
      </c>
      <c r="E461">
        <v>2178</v>
      </c>
    </row>
    <row r="462" spans="1:5" x14ac:dyDescent="0.3">
      <c r="A462" s="12">
        <v>43981</v>
      </c>
      <c r="B462" t="s">
        <v>23</v>
      </c>
      <c r="C462">
        <v>18</v>
      </c>
      <c r="D462">
        <v>1216</v>
      </c>
      <c r="E462">
        <v>1101</v>
      </c>
    </row>
    <row r="463" spans="1:5" x14ac:dyDescent="0.3">
      <c r="A463" s="12">
        <v>43981</v>
      </c>
      <c r="B463" t="s">
        <v>18</v>
      </c>
      <c r="C463">
        <v>17</v>
      </c>
      <c r="D463">
        <v>1697</v>
      </c>
      <c r="E463">
        <v>1499</v>
      </c>
    </row>
    <row r="464" spans="1:5" x14ac:dyDescent="0.3">
      <c r="A464" s="12">
        <v>43981</v>
      </c>
      <c r="B464" t="s">
        <v>19</v>
      </c>
      <c r="C464">
        <v>16</v>
      </c>
      <c r="D464">
        <v>1048</v>
      </c>
      <c r="E464">
        <v>918</v>
      </c>
    </row>
    <row r="465" spans="1:5" x14ac:dyDescent="0.3">
      <c r="A465" s="12">
        <v>43981</v>
      </c>
      <c r="B465" t="s">
        <v>9</v>
      </c>
      <c r="C465">
        <v>15</v>
      </c>
      <c r="D465">
        <v>490</v>
      </c>
      <c r="E465">
        <v>409</v>
      </c>
    </row>
    <row r="466" spans="1:5" x14ac:dyDescent="0.3">
      <c r="A466" s="12">
        <v>43981</v>
      </c>
      <c r="B466" t="s">
        <v>15</v>
      </c>
      <c r="C466">
        <v>124</v>
      </c>
      <c r="D466">
        <v>24325</v>
      </c>
      <c r="E466">
        <v>22469</v>
      </c>
    </row>
    <row r="467" spans="1:5" x14ac:dyDescent="0.3">
      <c r="A467" s="12">
        <v>43981</v>
      </c>
      <c r="B467" t="s">
        <v>14</v>
      </c>
      <c r="C467">
        <v>129</v>
      </c>
      <c r="D467">
        <v>20243</v>
      </c>
      <c r="E467">
        <v>18711</v>
      </c>
    </row>
    <row r="468" spans="1:5" x14ac:dyDescent="0.3">
      <c r="A468" s="12">
        <v>43981</v>
      </c>
      <c r="B468" t="s">
        <v>12</v>
      </c>
      <c r="C468">
        <v>10</v>
      </c>
      <c r="D468">
        <v>865</v>
      </c>
      <c r="E468">
        <v>763</v>
      </c>
    </row>
    <row r="469" spans="1:5" x14ac:dyDescent="0.3">
      <c r="A469" s="12">
        <v>43981</v>
      </c>
      <c r="B469" t="s">
        <v>24</v>
      </c>
      <c r="C469">
        <v>7</v>
      </c>
      <c r="D469">
        <v>532</v>
      </c>
      <c r="E469">
        <v>449</v>
      </c>
    </row>
    <row r="470" spans="1:5" x14ac:dyDescent="0.3">
      <c r="A470" s="12">
        <v>43982</v>
      </c>
      <c r="B470" t="s">
        <v>16</v>
      </c>
      <c r="C470">
        <v>37</v>
      </c>
      <c r="D470">
        <v>5215</v>
      </c>
      <c r="E470">
        <v>4848</v>
      </c>
    </row>
    <row r="471" spans="1:5" x14ac:dyDescent="0.3">
      <c r="A471" s="12">
        <v>43982</v>
      </c>
      <c r="B471" t="s">
        <v>11</v>
      </c>
      <c r="C471">
        <v>31</v>
      </c>
      <c r="D471">
        <v>5760</v>
      </c>
      <c r="E471">
        <v>5367</v>
      </c>
    </row>
    <row r="472" spans="1:5" x14ac:dyDescent="0.3">
      <c r="A472" s="12">
        <v>43982</v>
      </c>
      <c r="B472" t="s">
        <v>17</v>
      </c>
      <c r="C472">
        <v>23</v>
      </c>
      <c r="D472">
        <v>2522</v>
      </c>
      <c r="E472">
        <v>2295</v>
      </c>
    </row>
    <row r="473" spans="1:5" x14ac:dyDescent="0.3">
      <c r="A473" s="12">
        <v>43982</v>
      </c>
      <c r="B473" t="s">
        <v>10</v>
      </c>
      <c r="C473">
        <v>21</v>
      </c>
      <c r="D473">
        <v>2271</v>
      </c>
      <c r="E473">
        <v>2085</v>
      </c>
    </row>
    <row r="474" spans="1:5" x14ac:dyDescent="0.3">
      <c r="A474" s="12">
        <v>43982</v>
      </c>
      <c r="B474" t="s">
        <v>20</v>
      </c>
      <c r="C474">
        <v>21</v>
      </c>
      <c r="D474">
        <v>2056</v>
      </c>
      <c r="E474">
        <v>1879</v>
      </c>
    </row>
    <row r="475" spans="1:5" x14ac:dyDescent="0.3">
      <c r="A475" s="12">
        <v>43982</v>
      </c>
      <c r="B475" t="s">
        <v>22</v>
      </c>
      <c r="C475">
        <v>54</v>
      </c>
      <c r="D475">
        <v>13106</v>
      </c>
      <c r="E475">
        <v>12164</v>
      </c>
    </row>
    <row r="476" spans="1:5" x14ac:dyDescent="0.3">
      <c r="A476" s="12">
        <v>43982</v>
      </c>
      <c r="B476" t="s">
        <v>21</v>
      </c>
      <c r="C476">
        <v>59</v>
      </c>
      <c r="D476">
        <v>13684</v>
      </c>
      <c r="E476">
        <v>12690</v>
      </c>
    </row>
    <row r="477" spans="1:5" x14ac:dyDescent="0.3">
      <c r="A477" s="12">
        <v>43982</v>
      </c>
      <c r="B477" t="s">
        <v>13</v>
      </c>
      <c r="C477">
        <v>20</v>
      </c>
      <c r="D477">
        <v>2060</v>
      </c>
      <c r="E477">
        <v>1826</v>
      </c>
    </row>
    <row r="478" spans="1:5" x14ac:dyDescent="0.3">
      <c r="A478" s="12">
        <v>43982</v>
      </c>
      <c r="B478" t="s">
        <v>23</v>
      </c>
      <c r="C478">
        <v>18</v>
      </c>
      <c r="D478">
        <v>1029</v>
      </c>
      <c r="E478">
        <v>925</v>
      </c>
    </row>
    <row r="479" spans="1:5" x14ac:dyDescent="0.3">
      <c r="A479" s="12">
        <v>43982</v>
      </c>
      <c r="B479" t="s">
        <v>18</v>
      </c>
      <c r="C479">
        <v>17</v>
      </c>
      <c r="D479">
        <v>1186</v>
      </c>
      <c r="E479">
        <v>1054</v>
      </c>
    </row>
    <row r="480" spans="1:5" x14ac:dyDescent="0.3">
      <c r="A480" s="12">
        <v>43982</v>
      </c>
      <c r="B480" t="s">
        <v>19</v>
      </c>
      <c r="C480">
        <v>16</v>
      </c>
      <c r="D480">
        <v>917</v>
      </c>
      <c r="E480">
        <v>802</v>
      </c>
    </row>
    <row r="481" spans="1:5" x14ac:dyDescent="0.3">
      <c r="A481" s="12">
        <v>43982</v>
      </c>
      <c r="B481" t="s">
        <v>9</v>
      </c>
      <c r="C481">
        <v>15</v>
      </c>
      <c r="D481">
        <v>441</v>
      </c>
      <c r="E481">
        <v>368</v>
      </c>
    </row>
    <row r="482" spans="1:5" x14ac:dyDescent="0.3">
      <c r="A482" s="12">
        <v>43982</v>
      </c>
      <c r="B482" t="s">
        <v>15</v>
      </c>
      <c r="C482">
        <v>124</v>
      </c>
      <c r="D482">
        <v>21392</v>
      </c>
      <c r="E482">
        <v>19869</v>
      </c>
    </row>
    <row r="483" spans="1:5" x14ac:dyDescent="0.3">
      <c r="A483" s="12">
        <v>43982</v>
      </c>
      <c r="B483" t="s">
        <v>14</v>
      </c>
      <c r="C483">
        <v>129</v>
      </c>
      <c r="D483">
        <v>17235</v>
      </c>
      <c r="E483">
        <v>16052</v>
      </c>
    </row>
    <row r="484" spans="1:5" x14ac:dyDescent="0.3">
      <c r="A484" s="12">
        <v>43982</v>
      </c>
      <c r="B484" t="s">
        <v>12</v>
      </c>
      <c r="C484">
        <v>10</v>
      </c>
      <c r="D484">
        <v>749</v>
      </c>
      <c r="E484">
        <v>655</v>
      </c>
    </row>
    <row r="485" spans="1:5" x14ac:dyDescent="0.3">
      <c r="A485" s="12">
        <v>43982</v>
      </c>
      <c r="B485" t="s">
        <v>25</v>
      </c>
      <c r="C485">
        <v>9</v>
      </c>
      <c r="D485">
        <v>345</v>
      </c>
      <c r="E485">
        <v>255</v>
      </c>
    </row>
    <row r="486" spans="1:5" x14ac:dyDescent="0.3">
      <c r="A486" s="12">
        <v>43982</v>
      </c>
      <c r="B486" t="s">
        <v>24</v>
      </c>
      <c r="C486">
        <v>7</v>
      </c>
      <c r="D486">
        <v>530</v>
      </c>
      <c r="E486">
        <v>447</v>
      </c>
    </row>
    <row r="487" spans="1:5" x14ac:dyDescent="0.3">
      <c r="A487" s="12">
        <v>43982</v>
      </c>
      <c r="B487" t="s">
        <v>26</v>
      </c>
      <c r="C487">
        <v>6</v>
      </c>
      <c r="D487">
        <v>261</v>
      </c>
      <c r="E487">
        <v>188</v>
      </c>
    </row>
    <row r="488" spans="1:5" x14ac:dyDescent="0.3">
      <c r="A488" s="12">
        <v>43983</v>
      </c>
      <c r="B488" t="s">
        <v>16</v>
      </c>
      <c r="C488">
        <v>37</v>
      </c>
      <c r="D488">
        <v>4722</v>
      </c>
      <c r="E488">
        <v>4352</v>
      </c>
    </row>
    <row r="489" spans="1:5" x14ac:dyDescent="0.3">
      <c r="A489" s="12">
        <v>43983</v>
      </c>
      <c r="B489" t="s">
        <v>11</v>
      </c>
      <c r="C489">
        <v>31</v>
      </c>
      <c r="D489">
        <v>5468</v>
      </c>
      <c r="E489">
        <v>5081</v>
      </c>
    </row>
    <row r="490" spans="1:5" x14ac:dyDescent="0.3">
      <c r="A490" s="12">
        <v>43983</v>
      </c>
      <c r="B490" t="s">
        <v>17</v>
      </c>
      <c r="C490">
        <v>23</v>
      </c>
      <c r="D490">
        <v>2531</v>
      </c>
      <c r="E490">
        <v>2296</v>
      </c>
    </row>
    <row r="491" spans="1:5" x14ac:dyDescent="0.3">
      <c r="A491" s="12">
        <v>43983</v>
      </c>
      <c r="B491" t="s">
        <v>10</v>
      </c>
      <c r="C491">
        <v>21</v>
      </c>
      <c r="D491">
        <v>2025</v>
      </c>
      <c r="E491">
        <v>1849</v>
      </c>
    </row>
    <row r="492" spans="1:5" x14ac:dyDescent="0.3">
      <c r="A492" s="12">
        <v>43983</v>
      </c>
      <c r="B492" t="s">
        <v>20</v>
      </c>
      <c r="C492">
        <v>21</v>
      </c>
      <c r="D492">
        <v>1879</v>
      </c>
      <c r="E492">
        <v>1720</v>
      </c>
    </row>
    <row r="493" spans="1:5" x14ac:dyDescent="0.3">
      <c r="A493" s="12">
        <v>43983</v>
      </c>
      <c r="B493" t="s">
        <v>22</v>
      </c>
      <c r="C493">
        <v>54</v>
      </c>
      <c r="D493">
        <v>11864</v>
      </c>
      <c r="E493">
        <v>11071</v>
      </c>
    </row>
    <row r="494" spans="1:5" x14ac:dyDescent="0.3">
      <c r="A494" s="12">
        <v>43983</v>
      </c>
      <c r="B494" t="s">
        <v>21</v>
      </c>
      <c r="C494">
        <v>59</v>
      </c>
      <c r="D494">
        <v>12299</v>
      </c>
      <c r="E494">
        <v>11448</v>
      </c>
    </row>
    <row r="495" spans="1:5" x14ac:dyDescent="0.3">
      <c r="A495" s="12">
        <v>43983</v>
      </c>
      <c r="B495" t="s">
        <v>13</v>
      </c>
      <c r="C495">
        <v>20</v>
      </c>
      <c r="D495">
        <v>2136</v>
      </c>
      <c r="E495">
        <v>1899</v>
      </c>
    </row>
    <row r="496" spans="1:5" x14ac:dyDescent="0.3">
      <c r="A496" s="12">
        <v>43983</v>
      </c>
      <c r="B496" t="s">
        <v>23</v>
      </c>
      <c r="C496">
        <v>18</v>
      </c>
      <c r="D496">
        <v>923</v>
      </c>
      <c r="E496">
        <v>824</v>
      </c>
    </row>
    <row r="497" spans="1:5" x14ac:dyDescent="0.3">
      <c r="A497" s="12">
        <v>43983</v>
      </c>
      <c r="B497" t="s">
        <v>18</v>
      </c>
      <c r="C497">
        <v>17</v>
      </c>
      <c r="D497">
        <v>1185</v>
      </c>
      <c r="E497">
        <v>1042</v>
      </c>
    </row>
    <row r="498" spans="1:5" x14ac:dyDescent="0.3">
      <c r="A498" s="12">
        <v>43983</v>
      </c>
      <c r="B498" t="s">
        <v>19</v>
      </c>
      <c r="C498">
        <v>16</v>
      </c>
      <c r="D498">
        <v>1019</v>
      </c>
      <c r="E498">
        <v>895</v>
      </c>
    </row>
    <row r="499" spans="1:5" x14ac:dyDescent="0.3">
      <c r="A499" s="12">
        <v>43983</v>
      </c>
      <c r="B499" t="s">
        <v>9</v>
      </c>
      <c r="C499">
        <v>15</v>
      </c>
      <c r="D499">
        <v>453</v>
      </c>
      <c r="E499">
        <v>370</v>
      </c>
    </row>
    <row r="500" spans="1:5" x14ac:dyDescent="0.3">
      <c r="A500" s="12">
        <v>43983</v>
      </c>
      <c r="B500" t="s">
        <v>15</v>
      </c>
      <c r="C500">
        <v>123</v>
      </c>
      <c r="D500">
        <v>20325</v>
      </c>
      <c r="E500">
        <v>18935</v>
      </c>
    </row>
    <row r="501" spans="1:5" x14ac:dyDescent="0.3">
      <c r="A501" s="12">
        <v>43983</v>
      </c>
      <c r="B501" t="s">
        <v>14</v>
      </c>
      <c r="C501">
        <v>128</v>
      </c>
      <c r="D501">
        <v>16285</v>
      </c>
      <c r="E501">
        <v>15130</v>
      </c>
    </row>
    <row r="502" spans="1:5" x14ac:dyDescent="0.3">
      <c r="A502" s="12">
        <v>43983</v>
      </c>
      <c r="B502" t="s">
        <v>12</v>
      </c>
      <c r="C502">
        <v>10</v>
      </c>
      <c r="D502">
        <v>719</v>
      </c>
      <c r="E502">
        <v>627</v>
      </c>
    </row>
    <row r="503" spans="1:5" x14ac:dyDescent="0.3">
      <c r="A503" s="12">
        <v>43983</v>
      </c>
      <c r="B503" t="s">
        <v>25</v>
      </c>
      <c r="C503">
        <v>9</v>
      </c>
      <c r="D503">
        <v>294</v>
      </c>
      <c r="E503">
        <v>224</v>
      </c>
    </row>
    <row r="504" spans="1:5" x14ac:dyDescent="0.3">
      <c r="A504" s="12">
        <v>43983</v>
      </c>
      <c r="B504" t="s">
        <v>24</v>
      </c>
      <c r="C504">
        <v>7</v>
      </c>
      <c r="D504">
        <v>500</v>
      </c>
      <c r="E504">
        <v>418</v>
      </c>
    </row>
    <row r="505" spans="1:5" x14ac:dyDescent="0.3">
      <c r="A505" s="12">
        <v>43983</v>
      </c>
      <c r="B505" t="s">
        <v>26</v>
      </c>
      <c r="C505">
        <v>6</v>
      </c>
      <c r="D505">
        <v>237</v>
      </c>
      <c r="E505">
        <v>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39DD-8FC0-4281-AC91-564E762E9F94}">
  <dimension ref="A1:J505"/>
  <sheetViews>
    <sheetView workbookViewId="0">
      <selection activeCell="C24" sqref="C24"/>
    </sheetView>
  </sheetViews>
  <sheetFormatPr defaultRowHeight="14.4" x14ac:dyDescent="0.3"/>
  <cols>
    <col min="1" max="1" width="9.6640625" bestFit="1" customWidth="1"/>
    <col min="2" max="2" width="19.6640625" bestFit="1" customWidth="1"/>
    <col min="3" max="3" width="18.109375" bestFit="1" customWidth="1"/>
    <col min="4" max="4" width="18.88671875" bestFit="1" customWidth="1"/>
    <col min="5" max="5" width="20" bestFit="1" customWidth="1"/>
    <col min="6" max="6" width="19.5546875" bestFit="1" customWidth="1"/>
    <col min="7" max="7" width="21" bestFit="1" customWidth="1"/>
    <col min="8" max="8" width="22.77734375" bestFit="1" customWidth="1"/>
    <col min="9" max="9" width="9.21875" bestFit="1" customWidth="1"/>
    <col min="10" max="10" width="28.5546875" style="1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4" t="s">
        <v>27</v>
      </c>
    </row>
    <row r="2" spans="1:10" x14ac:dyDescent="0.3">
      <c r="A2" s="13">
        <v>43980</v>
      </c>
      <c r="B2" t="s">
        <v>15</v>
      </c>
      <c r="C2">
        <v>524481</v>
      </c>
      <c r="D2">
        <v>54172029</v>
      </c>
      <c r="E2">
        <v>124</v>
      </c>
      <c r="F2">
        <v>25828</v>
      </c>
      <c r="G2">
        <v>23974</v>
      </c>
      <c r="H2" cm="1">
        <f t="array" ref="H2">SUMPRODUCT((I2:I1000=22)*(D2:D1000))</f>
        <v>1055653508.75385</v>
      </c>
      <c r="I2">
        <f>WEEKNUM(Слияние1[[#This Row],[Дата]],2)</f>
        <v>22</v>
      </c>
      <c r="J2" s="15">
        <f>Слияние1[[#This Row],[Товарооборот, руб]] / SUM(Слияние1[Товарооборот, руб])</f>
        <v>1.0916587580708952E-2</v>
      </c>
    </row>
    <row r="3" spans="1:10" x14ac:dyDescent="0.3">
      <c r="A3" s="13">
        <v>43959</v>
      </c>
      <c r="B3" t="s">
        <v>15</v>
      </c>
      <c r="C3">
        <v>463530</v>
      </c>
      <c r="D3">
        <v>49123180.5</v>
      </c>
      <c r="E3">
        <v>125</v>
      </c>
      <c r="F3">
        <v>24620</v>
      </c>
      <c r="G3">
        <v>22641</v>
      </c>
      <c r="H3" cm="1">
        <f t="array" ref="H3">SUMPRODUCT((I3:I1001=22)*(D3:D1001))</f>
        <v>1001481479.75385</v>
      </c>
      <c r="I3">
        <f>WEEKNUM(Слияние1[[#This Row],[Дата]],2)</f>
        <v>19</v>
      </c>
      <c r="J3" s="15">
        <f>Слияние1[[#This Row],[Товарооборот, руб]] / SUM(Слияние1[Товарооборот, руб])</f>
        <v>9.8991585153885252E-3</v>
      </c>
    </row>
    <row r="4" spans="1:10" x14ac:dyDescent="0.3">
      <c r="A4" s="13">
        <v>43974</v>
      </c>
      <c r="B4" t="s">
        <v>15</v>
      </c>
      <c r="C4">
        <v>456885</v>
      </c>
      <c r="D4">
        <v>46408080</v>
      </c>
      <c r="E4">
        <v>125</v>
      </c>
      <c r="F4">
        <v>24574</v>
      </c>
      <c r="G4">
        <v>22609</v>
      </c>
      <c r="H4" cm="1">
        <f t="array" ref="H4">SUMPRODUCT((I4:I1002=22)*(D4:D1002))</f>
        <v>1001481479.75385</v>
      </c>
      <c r="I4">
        <f>WEEKNUM(Слияние1[[#This Row],[Дата]],2)</f>
        <v>21</v>
      </c>
      <c r="J4" s="15">
        <f>Слияние1[[#This Row],[Товарооборот, руб]] / SUM(Слияние1[Товарооборот, руб])</f>
        <v>9.3520194669567836E-3</v>
      </c>
    </row>
    <row r="5" spans="1:10" x14ac:dyDescent="0.3">
      <c r="A5" s="13">
        <v>43981</v>
      </c>
      <c r="B5" t="s">
        <v>15</v>
      </c>
      <c r="C5">
        <v>453123</v>
      </c>
      <c r="D5">
        <v>46370904</v>
      </c>
      <c r="E5">
        <v>124</v>
      </c>
      <c r="F5">
        <v>24325</v>
      </c>
      <c r="G5">
        <v>22469</v>
      </c>
      <c r="H5" cm="1">
        <f t="array" ref="H5">SUMPRODUCT((I5:I1003=22)*(D5:D1003))</f>
        <v>1001481479.75385</v>
      </c>
      <c r="I5">
        <f>WEEKNUM(Слияние1[[#This Row],[Дата]],2)</f>
        <v>22</v>
      </c>
      <c r="J5" s="15">
        <f>Слияние1[[#This Row],[Товарооборот, руб]] / SUM(Слияние1[Товарооборот, руб])</f>
        <v>9.3445278690345353E-3</v>
      </c>
    </row>
    <row r="6" spans="1:10" x14ac:dyDescent="0.3">
      <c r="A6" s="13">
        <v>43951</v>
      </c>
      <c r="B6" t="s">
        <v>15</v>
      </c>
      <c r="C6">
        <v>401580</v>
      </c>
      <c r="D6">
        <v>43028734.5</v>
      </c>
      <c r="E6">
        <v>125</v>
      </c>
      <c r="F6">
        <v>22368</v>
      </c>
      <c r="G6">
        <v>20625</v>
      </c>
      <c r="H6" cm="1">
        <f t="array" ref="H6">SUMPRODUCT((I6:I1004=22)*(D6:D1004))</f>
        <v>955110575.75384998</v>
      </c>
      <c r="I6">
        <f>WEEKNUM(Слияние1[[#This Row],[Дата]],2)</f>
        <v>18</v>
      </c>
      <c r="J6" s="15">
        <f>Слияние1[[#This Row],[Товарооборот, руб]] / SUM(Слияние1[Товарооборот, руб])</f>
        <v>8.6710237243711654E-3</v>
      </c>
    </row>
    <row r="7" spans="1:10" x14ac:dyDescent="0.3">
      <c r="A7" s="13">
        <v>43967</v>
      </c>
      <c r="B7" t="s">
        <v>15</v>
      </c>
      <c r="C7">
        <v>408810</v>
      </c>
      <c r="D7">
        <v>42323631</v>
      </c>
      <c r="E7">
        <v>125</v>
      </c>
      <c r="F7">
        <v>22291</v>
      </c>
      <c r="G7">
        <v>20635</v>
      </c>
      <c r="H7" cm="1">
        <f t="array" ref="H7">SUMPRODUCT((I7:I1005=22)*(D7:D1005))</f>
        <v>955110575.75384998</v>
      </c>
      <c r="I7">
        <f>WEEKNUM(Слияние1[[#This Row],[Дата]],2)</f>
        <v>20</v>
      </c>
      <c r="J7" s="15">
        <f>Слияние1[[#This Row],[Товарооборот, руб]] / SUM(Слияние1[Товарооборот, руб])</f>
        <v>8.5289333457513362E-3</v>
      </c>
    </row>
    <row r="8" spans="1:10" x14ac:dyDescent="0.3">
      <c r="A8" s="13">
        <v>43966</v>
      </c>
      <c r="B8" t="s">
        <v>15</v>
      </c>
      <c r="C8">
        <v>403261.5</v>
      </c>
      <c r="D8">
        <v>42271377</v>
      </c>
      <c r="E8">
        <v>125</v>
      </c>
      <c r="F8">
        <v>21862</v>
      </c>
      <c r="G8">
        <v>20235</v>
      </c>
      <c r="H8" cm="1">
        <f t="array" ref="H8">SUMPRODUCT((I8:I1006=22)*(D8:D1006))</f>
        <v>955110575.75384998</v>
      </c>
      <c r="I8">
        <f>WEEKNUM(Слияние1[[#This Row],[Дата]],2)</f>
        <v>20</v>
      </c>
      <c r="J8" s="15">
        <f>Слияние1[[#This Row],[Товарооборот, руб]] / SUM(Слияние1[Товарооборот, руб])</f>
        <v>8.518403273720207E-3</v>
      </c>
    </row>
    <row r="9" spans="1:10" x14ac:dyDescent="0.3">
      <c r="A9" s="13">
        <v>43980</v>
      </c>
      <c r="B9" t="s">
        <v>14</v>
      </c>
      <c r="C9">
        <v>422965.5</v>
      </c>
      <c r="D9">
        <v>41767140.105000004</v>
      </c>
      <c r="E9">
        <v>129</v>
      </c>
      <c r="F9">
        <v>22403</v>
      </c>
      <c r="G9">
        <v>20676</v>
      </c>
      <c r="H9" cm="1">
        <f t="array" ref="H9">SUMPRODUCT((I9:I1007=22)*(D9:D1007))</f>
        <v>955110575.75384998</v>
      </c>
      <c r="I9">
        <f>WEEKNUM(Слияние1[[#This Row],[Дата]],2)</f>
        <v>22</v>
      </c>
      <c r="J9" s="15">
        <f>Слияние1[[#This Row],[Товарооборот, руб]] / SUM(Слияние1[Товарооборот, руб])</f>
        <v>8.4167909411695437E-3</v>
      </c>
    </row>
    <row r="10" spans="1:10" x14ac:dyDescent="0.3">
      <c r="A10" s="13">
        <v>43950</v>
      </c>
      <c r="B10" t="s">
        <v>15</v>
      </c>
      <c r="C10">
        <v>387220.5</v>
      </c>
      <c r="D10">
        <v>41559384</v>
      </c>
      <c r="E10">
        <v>125</v>
      </c>
      <c r="F10">
        <v>21863</v>
      </c>
      <c r="G10">
        <v>20160</v>
      </c>
      <c r="H10" cm="1">
        <f t="array" ref="H10">SUMPRODUCT((I10:I1008=22)*(D10:D1008))</f>
        <v>913343435.64884996</v>
      </c>
      <c r="I10">
        <f>WEEKNUM(Слияние1[[#This Row],[Дата]],2)</f>
        <v>18</v>
      </c>
      <c r="J10" s="15">
        <f>Слияние1[[#This Row],[Товарооборот, руб]] / SUM(Слияние1[Товарооборот, руб])</f>
        <v>8.3749245433711612E-3</v>
      </c>
    </row>
    <row r="11" spans="1:10" x14ac:dyDescent="0.3">
      <c r="A11" s="13">
        <v>43952</v>
      </c>
      <c r="B11" t="s">
        <v>15</v>
      </c>
      <c r="C11">
        <v>372504</v>
      </c>
      <c r="D11">
        <v>40077193.5</v>
      </c>
      <c r="E11">
        <v>125</v>
      </c>
      <c r="F11">
        <v>20602</v>
      </c>
      <c r="G11">
        <v>18845</v>
      </c>
      <c r="H11" cm="1">
        <f t="array" ref="H11">SUMPRODUCT((I11:I1009=22)*(D11:D1009))</f>
        <v>913343435.64884996</v>
      </c>
      <c r="I11">
        <f>WEEKNUM(Слияние1[[#This Row],[Дата]],2)</f>
        <v>18</v>
      </c>
      <c r="J11" s="15">
        <f>Слияние1[[#This Row],[Товарооборот, руб]] / SUM(Слияние1[Товарооборот, руб])</f>
        <v>8.0762378834244794E-3</v>
      </c>
    </row>
    <row r="12" spans="1:10" x14ac:dyDescent="0.3">
      <c r="A12" s="13">
        <v>43949</v>
      </c>
      <c r="B12" t="s">
        <v>15</v>
      </c>
      <c r="C12">
        <v>376060.5</v>
      </c>
      <c r="D12">
        <v>39918028.5</v>
      </c>
      <c r="E12">
        <v>125</v>
      </c>
      <c r="F12">
        <v>20914</v>
      </c>
      <c r="G12">
        <v>19479</v>
      </c>
      <c r="H12" cm="1">
        <f t="array" ref="H12">SUMPRODUCT((I12:I1010=22)*(D12:D1010))</f>
        <v>913343435.64884996</v>
      </c>
      <c r="I12">
        <f>WEEKNUM(Слияние1[[#This Row],[Дата]],2)</f>
        <v>18</v>
      </c>
      <c r="J12" s="15">
        <f>Слияние1[[#This Row],[Товарооборот, руб]] / SUM(Слияние1[Товарооборот, руб])</f>
        <v>8.0441634218553267E-3</v>
      </c>
    </row>
    <row r="13" spans="1:10" x14ac:dyDescent="0.3">
      <c r="A13" s="13">
        <v>43971</v>
      </c>
      <c r="B13" t="s">
        <v>15</v>
      </c>
      <c r="C13">
        <v>388668</v>
      </c>
      <c r="D13">
        <v>39639309</v>
      </c>
      <c r="E13">
        <v>125</v>
      </c>
      <c r="F13">
        <v>21674</v>
      </c>
      <c r="G13">
        <v>20155</v>
      </c>
      <c r="H13" cm="1">
        <f t="array" ref="H13">SUMPRODUCT((I13:I1011=22)*(D13:D1011))</f>
        <v>913343435.64884996</v>
      </c>
      <c r="I13">
        <f>WEEKNUM(Слияние1[[#This Row],[Дата]],2)</f>
        <v>21</v>
      </c>
      <c r="J13" s="15">
        <f>Слияние1[[#This Row],[Товарооборот, руб]] / SUM(Слияние1[Товарооборот, руб])</f>
        <v>7.9879966899021743E-3</v>
      </c>
    </row>
    <row r="14" spans="1:10" x14ac:dyDescent="0.3">
      <c r="A14" s="13">
        <v>43963</v>
      </c>
      <c r="B14" t="s">
        <v>15</v>
      </c>
      <c r="C14">
        <v>373392</v>
      </c>
      <c r="D14">
        <v>39578577</v>
      </c>
      <c r="E14">
        <v>125</v>
      </c>
      <c r="F14">
        <v>21106</v>
      </c>
      <c r="G14">
        <v>19651</v>
      </c>
      <c r="H14" cm="1">
        <f t="array" ref="H14">SUMPRODUCT((I14:I1012=22)*(D14:D1012))</f>
        <v>913343435.64884996</v>
      </c>
      <c r="I14">
        <f>WEEKNUM(Слияние1[[#This Row],[Дата]],2)</f>
        <v>20</v>
      </c>
      <c r="J14" s="15">
        <f>Слияние1[[#This Row],[Товарооборот, руб]] / SUM(Слияние1[Товарооборот, руб])</f>
        <v>7.9757581563048522E-3</v>
      </c>
    </row>
    <row r="15" spans="1:10" x14ac:dyDescent="0.3">
      <c r="A15" s="13">
        <v>43973</v>
      </c>
      <c r="B15" t="s">
        <v>15</v>
      </c>
      <c r="C15">
        <v>393018</v>
      </c>
      <c r="D15">
        <v>39498373.5</v>
      </c>
      <c r="E15">
        <v>125</v>
      </c>
      <c r="F15">
        <v>21427</v>
      </c>
      <c r="G15">
        <v>19799</v>
      </c>
      <c r="H15" cm="1">
        <f t="array" ref="H15">SUMPRODUCT((I15:I1013=22)*(D15:D1013))</f>
        <v>913343435.64884996</v>
      </c>
      <c r="I15">
        <f>WEEKNUM(Слияние1[[#This Row],[Дата]],2)</f>
        <v>21</v>
      </c>
      <c r="J15" s="15">
        <f>Слияние1[[#This Row],[Товарооборот, руб]] / SUM(Слияние1[Товарооборот, руб])</f>
        <v>7.9595957834310317E-3</v>
      </c>
    </row>
    <row r="16" spans="1:10" x14ac:dyDescent="0.3">
      <c r="A16" s="13">
        <v>43982</v>
      </c>
      <c r="B16" t="s">
        <v>15</v>
      </c>
      <c r="C16">
        <v>379663.5</v>
      </c>
      <c r="D16">
        <v>39380178</v>
      </c>
      <c r="E16">
        <v>124</v>
      </c>
      <c r="F16">
        <v>21392</v>
      </c>
      <c r="G16">
        <v>19869</v>
      </c>
      <c r="H16" cm="1">
        <f t="array" ref="H16">SUMPRODUCT((I16:I1014=22)*(D16:D1014))</f>
        <v>913343435.64884996</v>
      </c>
      <c r="I16">
        <f>WEEKNUM(Слияние1[[#This Row],[Дата]],2)</f>
        <v>22</v>
      </c>
      <c r="J16" s="15">
        <f>Слияние1[[#This Row],[Товарооборот, руб]] / SUM(Слияние1[Товарооборот, руб])</f>
        <v>7.9357773747205929E-3</v>
      </c>
    </row>
    <row r="17" spans="1:10" x14ac:dyDescent="0.3">
      <c r="A17" s="13">
        <v>43978</v>
      </c>
      <c r="B17" t="s">
        <v>15</v>
      </c>
      <c r="C17">
        <v>370012.5</v>
      </c>
      <c r="D17">
        <v>39034861.5</v>
      </c>
      <c r="E17">
        <v>124</v>
      </c>
      <c r="F17">
        <v>21384</v>
      </c>
      <c r="G17">
        <v>19897</v>
      </c>
      <c r="H17" cm="1">
        <f t="array" ref="H17">SUMPRODUCT((I17:I1015=22)*(D17:D1015))</f>
        <v>873963257.64884996</v>
      </c>
      <c r="I17">
        <f>WEEKNUM(Слияние1[[#This Row],[Дата]],2)</f>
        <v>22</v>
      </c>
      <c r="J17" s="15">
        <f>Слияние1[[#This Row],[Товарооборот, руб]] / SUM(Слияние1[Товарооборот, руб])</f>
        <v>7.8661902116605974E-3</v>
      </c>
    </row>
    <row r="18" spans="1:10" x14ac:dyDescent="0.3">
      <c r="A18" s="13">
        <v>43961</v>
      </c>
      <c r="B18" t="s">
        <v>15</v>
      </c>
      <c r="C18">
        <v>368649</v>
      </c>
      <c r="D18">
        <v>39010875</v>
      </c>
      <c r="E18">
        <v>125</v>
      </c>
      <c r="F18">
        <v>20368</v>
      </c>
      <c r="G18">
        <v>18884</v>
      </c>
      <c r="H18" cm="1">
        <f t="array" ref="H18">SUMPRODUCT((I18:I1016=22)*(D18:D1016))</f>
        <v>834928396.14884996</v>
      </c>
      <c r="I18">
        <f>WEEKNUM(Слияние1[[#This Row],[Дата]],2)</f>
        <v>19</v>
      </c>
      <c r="J18" s="15">
        <f>Слияние1[[#This Row],[Товарооборот, руб]] / SUM(Слияние1[Товарооборот, руб])</f>
        <v>7.8613565228946719E-3</v>
      </c>
    </row>
    <row r="19" spans="1:10" x14ac:dyDescent="0.3">
      <c r="A19" s="13">
        <v>43960</v>
      </c>
      <c r="B19" t="s">
        <v>15</v>
      </c>
      <c r="C19">
        <v>359214</v>
      </c>
      <c r="D19">
        <v>38693427</v>
      </c>
      <c r="E19">
        <v>125</v>
      </c>
      <c r="F19">
        <v>20132</v>
      </c>
      <c r="G19">
        <v>18617</v>
      </c>
      <c r="H19" cm="1">
        <f t="array" ref="H19">SUMPRODUCT((I19:I1017=22)*(D19:D1017))</f>
        <v>834928396.14884996</v>
      </c>
      <c r="I19">
        <f>WEEKNUM(Слияние1[[#This Row],[Дата]],2)</f>
        <v>19</v>
      </c>
      <c r="J19" s="15">
        <f>Слияние1[[#This Row],[Товарооборот, руб]] / SUM(Слияние1[Товарооборот, руб])</f>
        <v>7.7973853377961604E-3</v>
      </c>
    </row>
    <row r="20" spans="1:10" x14ac:dyDescent="0.3">
      <c r="A20" s="13">
        <v>43955</v>
      </c>
      <c r="B20" t="s">
        <v>15</v>
      </c>
      <c r="C20">
        <v>360255</v>
      </c>
      <c r="D20">
        <v>38406954</v>
      </c>
      <c r="E20">
        <v>125</v>
      </c>
      <c r="F20">
        <v>20495</v>
      </c>
      <c r="G20">
        <v>18964</v>
      </c>
      <c r="H20" cm="1">
        <f t="array" ref="H20">SUMPRODUCT((I20:I1018=22)*(D20:D1018))</f>
        <v>834928396.14884996</v>
      </c>
      <c r="I20">
        <f>WEEKNUM(Слияние1[[#This Row],[Дата]],2)</f>
        <v>19</v>
      </c>
      <c r="J20" s="15">
        <f>Слияние1[[#This Row],[Товарооборот, руб]] / SUM(Слияние1[Товарооборот, руб])</f>
        <v>7.7396561433809314E-3</v>
      </c>
    </row>
    <row r="21" spans="1:10" x14ac:dyDescent="0.3">
      <c r="A21" s="13">
        <v>43977</v>
      </c>
      <c r="B21" t="s">
        <v>15</v>
      </c>
      <c r="C21">
        <v>369861</v>
      </c>
      <c r="D21">
        <v>38365960.5</v>
      </c>
      <c r="E21">
        <v>124</v>
      </c>
      <c r="F21">
        <v>21153</v>
      </c>
      <c r="G21">
        <v>19673</v>
      </c>
      <c r="H21" cm="1">
        <f t="array" ref="H21">SUMPRODUCT((I21:I1019=22)*(D21:D1019))</f>
        <v>834928396.14884996</v>
      </c>
      <c r="I21">
        <f>WEEKNUM(Слияние1[[#This Row],[Дата]],2)</f>
        <v>22</v>
      </c>
      <c r="J21" s="15">
        <f>Слияние1[[#This Row],[Товарооборот, руб]] / SUM(Слияние1[Товарооборот, руб])</f>
        <v>7.7313952541129705E-3</v>
      </c>
    </row>
    <row r="22" spans="1:10" x14ac:dyDescent="0.3">
      <c r="A22" s="13">
        <v>43975</v>
      </c>
      <c r="B22" t="s">
        <v>15</v>
      </c>
      <c r="C22">
        <v>375744</v>
      </c>
      <c r="D22">
        <v>38191381.5</v>
      </c>
      <c r="E22">
        <v>125</v>
      </c>
      <c r="F22">
        <v>21004</v>
      </c>
      <c r="G22">
        <v>19556</v>
      </c>
      <c r="H22" cm="1">
        <f t="array" ref="H22">SUMPRODUCT((I22:I1020=22)*(D22:D1020))</f>
        <v>796562435.64884996</v>
      </c>
      <c r="I22">
        <f>WEEKNUM(Слияние1[[#This Row],[Дата]],2)</f>
        <v>21</v>
      </c>
      <c r="J22" s="15">
        <f>Слияние1[[#This Row],[Товарооборот, руб]] / SUM(Слияние1[Товарооборот, руб])</f>
        <v>7.696214608705493E-3</v>
      </c>
    </row>
    <row r="23" spans="1:10" x14ac:dyDescent="0.3">
      <c r="A23" s="13">
        <v>43957</v>
      </c>
      <c r="B23" t="s">
        <v>15</v>
      </c>
      <c r="C23">
        <v>355278</v>
      </c>
      <c r="D23">
        <v>38092344</v>
      </c>
      <c r="E23">
        <v>125</v>
      </c>
      <c r="F23">
        <v>20218</v>
      </c>
      <c r="G23">
        <v>18647</v>
      </c>
      <c r="H23" cm="1">
        <f t="array" ref="H23">SUMPRODUCT((I23:I1021=22)*(D23:D1021))</f>
        <v>796562435.64884996</v>
      </c>
      <c r="I23">
        <f>WEEKNUM(Слияние1[[#This Row],[Дата]],2)</f>
        <v>19</v>
      </c>
      <c r="J23" s="15">
        <f>Слияние1[[#This Row],[Товарооборот, руб]] / SUM(Слияние1[Товарооборот, руб])</f>
        <v>7.6762568636757752E-3</v>
      </c>
    </row>
    <row r="24" spans="1:10" x14ac:dyDescent="0.3">
      <c r="A24" s="13">
        <v>43959</v>
      </c>
      <c r="B24" t="s">
        <v>14</v>
      </c>
      <c r="C24">
        <v>370092</v>
      </c>
      <c r="D24">
        <v>38091556.5</v>
      </c>
      <c r="E24">
        <v>129</v>
      </c>
      <c r="F24">
        <v>20452</v>
      </c>
      <c r="G24">
        <v>18857</v>
      </c>
      <c r="H24" cm="1">
        <f t="array" ref="H24">SUMPRODUCT((I24:I1022=22)*(D24:D1022))</f>
        <v>796562435.64884996</v>
      </c>
      <c r="I24">
        <f>WEEKNUM(Слияние1[[#This Row],[Дата]],2)</f>
        <v>19</v>
      </c>
      <c r="J24" s="15">
        <f>Слияние1[[#This Row],[Товарооборот, руб]] / SUM(Слияние1[Товарооборот, руб])</f>
        <v>7.6760981689973865E-3</v>
      </c>
    </row>
    <row r="25" spans="1:10" x14ac:dyDescent="0.3">
      <c r="A25" s="13">
        <v>43965</v>
      </c>
      <c r="B25" t="s">
        <v>15</v>
      </c>
      <c r="C25">
        <v>358387.5</v>
      </c>
      <c r="D25">
        <v>37963150.5</v>
      </c>
      <c r="E25">
        <v>125</v>
      </c>
      <c r="F25">
        <v>20247</v>
      </c>
      <c r="G25">
        <v>18812</v>
      </c>
      <c r="H25" cm="1">
        <f t="array" ref="H25">SUMPRODUCT((I25:I1023=22)*(D25:D1023))</f>
        <v>796562435.64884996</v>
      </c>
      <c r="I25">
        <f>WEEKNUM(Слияние1[[#This Row],[Дата]],2)</f>
        <v>20</v>
      </c>
      <c r="J25" s="15">
        <f>Слияние1[[#This Row],[Товарооборот, руб]] / SUM(Слияние1[Товарооборот, руб])</f>
        <v>7.6502221704282999E-3</v>
      </c>
    </row>
    <row r="26" spans="1:10" x14ac:dyDescent="0.3">
      <c r="A26" s="13">
        <v>43979</v>
      </c>
      <c r="B26" t="s">
        <v>15</v>
      </c>
      <c r="C26">
        <v>364638</v>
      </c>
      <c r="D26">
        <v>37947688.5</v>
      </c>
      <c r="E26">
        <v>124</v>
      </c>
      <c r="F26">
        <v>20868</v>
      </c>
      <c r="G26">
        <v>19342</v>
      </c>
      <c r="H26" cm="1">
        <f t="array" ref="H26">SUMPRODUCT((I26:I1024=22)*(D26:D1024))</f>
        <v>796562435.64884996</v>
      </c>
      <c r="I26">
        <f>WEEKNUM(Слияние1[[#This Row],[Дата]],2)</f>
        <v>22</v>
      </c>
      <c r="J26" s="15">
        <f>Слияние1[[#This Row],[Товарооборот, руб]] / SUM(Слияние1[Товарооборот, руб])</f>
        <v>7.6471063137714835E-3</v>
      </c>
    </row>
    <row r="27" spans="1:10" x14ac:dyDescent="0.3">
      <c r="A27" s="13">
        <v>43972</v>
      </c>
      <c r="B27" t="s">
        <v>15</v>
      </c>
      <c r="C27">
        <v>378043.5</v>
      </c>
      <c r="D27">
        <v>37902156.57</v>
      </c>
      <c r="E27">
        <v>125</v>
      </c>
      <c r="F27">
        <v>20911</v>
      </c>
      <c r="G27">
        <v>19358</v>
      </c>
      <c r="H27" cm="1">
        <f t="array" ref="H27">SUMPRODUCT((I27:I1025=22)*(D27:D1025))</f>
        <v>758614747.14884996</v>
      </c>
      <c r="I27">
        <f>WEEKNUM(Слияние1[[#This Row],[Дата]],2)</f>
        <v>21</v>
      </c>
      <c r="J27" s="15">
        <f>Слияние1[[#This Row],[Товарооборот, руб]] / SUM(Слияние1[Товарооборот, руб])</f>
        <v>7.6379308534695678E-3</v>
      </c>
    </row>
    <row r="28" spans="1:10" x14ac:dyDescent="0.3">
      <c r="A28" s="13">
        <v>43983</v>
      </c>
      <c r="B28" t="s">
        <v>15</v>
      </c>
      <c r="C28">
        <v>349699.5</v>
      </c>
      <c r="D28">
        <v>37257840.18135</v>
      </c>
      <c r="E28">
        <v>123</v>
      </c>
      <c r="F28">
        <v>20325</v>
      </c>
      <c r="G28">
        <v>18935</v>
      </c>
      <c r="H28" cm="1">
        <f t="array" ref="H28">SUMPRODUCT((I28:I1026=22)*(D28:D1026))</f>
        <v>758614747.14884996</v>
      </c>
      <c r="I28">
        <f>WEEKNUM(Слияние1[[#This Row],[Дата]],2)</f>
        <v>23</v>
      </c>
      <c r="J28" s="15">
        <f>Слияние1[[#This Row],[Товарооборот, руб]] / SUM(Слияние1[Товарооборот, руб])</f>
        <v>7.5080901143238397E-3</v>
      </c>
    </row>
    <row r="29" spans="1:10" x14ac:dyDescent="0.3">
      <c r="A29" s="13">
        <v>43964</v>
      </c>
      <c r="B29" t="s">
        <v>15</v>
      </c>
      <c r="C29">
        <v>350068.5</v>
      </c>
      <c r="D29">
        <v>37197115.5</v>
      </c>
      <c r="E29">
        <v>125</v>
      </c>
      <c r="F29">
        <v>19965</v>
      </c>
      <c r="G29">
        <v>18573</v>
      </c>
      <c r="H29" cm="1">
        <f t="array" ref="H29">SUMPRODUCT((I29:I1027=22)*(D29:D1027))</f>
        <v>758614747.14884996</v>
      </c>
      <c r="I29">
        <f>WEEKNUM(Слияние1[[#This Row],[Дата]],2)</f>
        <v>20</v>
      </c>
      <c r="J29" s="15">
        <f>Слияние1[[#This Row],[Товарооборот, руб]] / SUM(Слияние1[Товарооборот, руб])</f>
        <v>7.4958530555592892E-3</v>
      </c>
    </row>
    <row r="30" spans="1:10" x14ac:dyDescent="0.3">
      <c r="A30" s="13">
        <v>43970</v>
      </c>
      <c r="B30" t="s">
        <v>15</v>
      </c>
      <c r="C30">
        <v>362536.5</v>
      </c>
      <c r="D30">
        <v>37023243</v>
      </c>
      <c r="E30">
        <v>125</v>
      </c>
      <c r="F30">
        <v>20771</v>
      </c>
      <c r="G30">
        <v>19338</v>
      </c>
      <c r="H30" cm="1">
        <f t="array" ref="H30">SUMPRODUCT((I30:I1028=22)*(D30:D1028))</f>
        <v>758614747.14884996</v>
      </c>
      <c r="I30">
        <f>WEEKNUM(Слияние1[[#This Row],[Дата]],2)</f>
        <v>21</v>
      </c>
      <c r="J30" s="15">
        <f>Слияние1[[#This Row],[Товарооборот, руб]] / SUM(Слияние1[Товарооборот, руб])</f>
        <v>7.4608147819489948E-3</v>
      </c>
    </row>
    <row r="31" spans="1:10" x14ac:dyDescent="0.3">
      <c r="A31" s="13">
        <v>43976</v>
      </c>
      <c r="B31" t="s">
        <v>15</v>
      </c>
      <c r="C31">
        <v>349734</v>
      </c>
      <c r="D31">
        <v>36883428</v>
      </c>
      <c r="E31">
        <v>124</v>
      </c>
      <c r="F31">
        <v>20358</v>
      </c>
      <c r="G31">
        <v>18890</v>
      </c>
      <c r="H31" cm="1">
        <f t="array" ref="H31">SUMPRODUCT((I31:I1029=22)*(D31:D1029))</f>
        <v>758614747.14884996</v>
      </c>
      <c r="I31">
        <f>WEEKNUM(Слияние1[[#This Row],[Дата]],2)</f>
        <v>22</v>
      </c>
      <c r="J31" s="15">
        <f>Слияние1[[#This Row],[Товарооборот, руб]] / SUM(Слияние1[Товарооборот, руб])</f>
        <v>7.4326396753345309E-3</v>
      </c>
    </row>
    <row r="32" spans="1:10" x14ac:dyDescent="0.3">
      <c r="A32" s="13">
        <v>43969</v>
      </c>
      <c r="B32" t="s">
        <v>15</v>
      </c>
      <c r="C32">
        <v>355081.5</v>
      </c>
      <c r="D32">
        <v>36876888</v>
      </c>
      <c r="E32">
        <v>125</v>
      </c>
      <c r="F32">
        <v>20449</v>
      </c>
      <c r="G32">
        <v>19060</v>
      </c>
      <c r="H32" cm="1">
        <f t="array" ref="H32">SUMPRODUCT((I32:I1030=22)*(D32:D1030))</f>
        <v>721731319.14884996</v>
      </c>
      <c r="I32">
        <f>WEEKNUM(Слияние1[[#This Row],[Дата]],2)</f>
        <v>21</v>
      </c>
      <c r="J32" s="15">
        <f>Слияние1[[#This Row],[Товарооборот, руб]] / SUM(Слияние1[Товарооборот, руб])</f>
        <v>7.4313217538149613E-3</v>
      </c>
    </row>
    <row r="33" spans="1:10" x14ac:dyDescent="0.3">
      <c r="A33" s="13">
        <v>43968</v>
      </c>
      <c r="B33" t="s">
        <v>15</v>
      </c>
      <c r="C33">
        <v>357072</v>
      </c>
      <c r="D33">
        <v>36834567</v>
      </c>
      <c r="E33">
        <v>125</v>
      </c>
      <c r="F33">
        <v>20079</v>
      </c>
      <c r="G33">
        <v>18721</v>
      </c>
      <c r="H33" cm="1">
        <f t="array" ref="H33">SUMPRODUCT((I33:I1031=22)*(D33:D1031))</f>
        <v>721731319.14884996</v>
      </c>
      <c r="I33">
        <f>WEEKNUM(Слияние1[[#This Row],[Дата]],2)</f>
        <v>20</v>
      </c>
      <c r="J33" s="15">
        <f>Слияние1[[#This Row],[Товарооборот, руб]] / SUM(Слияние1[Товарооборот, руб])</f>
        <v>7.4227933506605739E-3</v>
      </c>
    </row>
    <row r="34" spans="1:10" x14ac:dyDescent="0.3">
      <c r="A34" s="13">
        <v>43954</v>
      </c>
      <c r="B34" t="s">
        <v>15</v>
      </c>
      <c r="C34">
        <v>342666</v>
      </c>
      <c r="D34">
        <v>36631999.5</v>
      </c>
      <c r="E34">
        <v>125</v>
      </c>
      <c r="F34">
        <v>18861</v>
      </c>
      <c r="G34">
        <v>17420</v>
      </c>
      <c r="H34" cm="1">
        <f t="array" ref="H34">SUMPRODUCT((I34:I1032=22)*(D34:D1032))</f>
        <v>721731319.14884996</v>
      </c>
      <c r="I34">
        <f>WEEKNUM(Слияние1[[#This Row],[Дата]],2)</f>
        <v>18</v>
      </c>
      <c r="J34" s="15">
        <f>Слияние1[[#This Row],[Товарооборот, руб]] / SUM(Слияние1[Товарооборот, руб])</f>
        <v>7.3819725452453798E-3</v>
      </c>
    </row>
    <row r="35" spans="1:10" x14ac:dyDescent="0.3">
      <c r="A35" s="13">
        <v>43981</v>
      </c>
      <c r="B35" t="s">
        <v>14</v>
      </c>
      <c r="C35">
        <v>364882.5</v>
      </c>
      <c r="D35">
        <v>35724493.5</v>
      </c>
      <c r="E35">
        <v>129</v>
      </c>
      <c r="F35">
        <v>20243</v>
      </c>
      <c r="G35">
        <v>18711</v>
      </c>
      <c r="H35" cm="1">
        <f t="array" ref="H35">SUMPRODUCT((I35:I1033=22)*(D35:D1033))</f>
        <v>721731319.14884996</v>
      </c>
      <c r="I35">
        <f>WEEKNUM(Слияние1[[#This Row],[Дата]],2)</f>
        <v>22</v>
      </c>
      <c r="J35" s="15">
        <f>Слияние1[[#This Row],[Товарооборот, руб]] / SUM(Слияние1[Товарооборот, руб])</f>
        <v>7.1990946115239223E-3</v>
      </c>
    </row>
    <row r="36" spans="1:10" x14ac:dyDescent="0.3">
      <c r="A36" s="13">
        <v>43956</v>
      </c>
      <c r="B36" t="s">
        <v>15</v>
      </c>
      <c r="C36">
        <v>333792</v>
      </c>
      <c r="D36">
        <v>35671734</v>
      </c>
      <c r="E36">
        <v>125</v>
      </c>
      <c r="F36">
        <v>18944</v>
      </c>
      <c r="G36">
        <v>17541</v>
      </c>
      <c r="H36" cm="1">
        <f t="array" ref="H36">SUMPRODUCT((I36:I1034=22)*(D36:D1034))</f>
        <v>686006825.64884996</v>
      </c>
      <c r="I36">
        <f>WEEKNUM(Слияние1[[#This Row],[Дата]],2)</f>
        <v>19</v>
      </c>
      <c r="J36" s="15">
        <f>Слияние1[[#This Row],[Товарооборот, руб]] / SUM(Слияние1[Товарооборот, руб])</f>
        <v>7.188462672623048E-3</v>
      </c>
    </row>
    <row r="37" spans="1:10" x14ac:dyDescent="0.3">
      <c r="A37" s="13">
        <v>43974</v>
      </c>
      <c r="B37" t="s">
        <v>14</v>
      </c>
      <c r="C37">
        <v>356982</v>
      </c>
      <c r="D37">
        <v>35103926.711549997</v>
      </c>
      <c r="E37">
        <v>129</v>
      </c>
      <c r="F37">
        <v>19856</v>
      </c>
      <c r="G37">
        <v>18325</v>
      </c>
      <c r="H37" cm="1">
        <f t="array" ref="H37">SUMPRODUCT((I37:I1035=22)*(D37:D1035))</f>
        <v>686006825.64884996</v>
      </c>
      <c r="I37">
        <f>WEEKNUM(Слияние1[[#This Row],[Дата]],2)</f>
        <v>21</v>
      </c>
      <c r="J37" s="15">
        <f>Слияние1[[#This Row],[Товарооборот, руб]] / SUM(Слияние1[Товарооборот, руб])</f>
        <v>7.0740398217948221E-3</v>
      </c>
    </row>
    <row r="38" spans="1:10" x14ac:dyDescent="0.3">
      <c r="A38" s="13">
        <v>43962</v>
      </c>
      <c r="B38" t="s">
        <v>15</v>
      </c>
      <c r="C38">
        <v>318565.5</v>
      </c>
      <c r="D38">
        <v>33781581</v>
      </c>
      <c r="E38">
        <v>125</v>
      </c>
      <c r="F38">
        <v>18066</v>
      </c>
      <c r="G38">
        <v>16883</v>
      </c>
      <c r="H38" cm="1">
        <f t="array" ref="H38">SUMPRODUCT((I38:I1036=22)*(D38:D1036))</f>
        <v>686006825.64884996</v>
      </c>
      <c r="I38">
        <f>WEEKNUM(Слияние1[[#This Row],[Дата]],2)</f>
        <v>20</v>
      </c>
      <c r="J38" s="15">
        <f>Слияние1[[#This Row],[Товарооборот, руб]] / SUM(Слияние1[Товарооборот, руб])</f>
        <v>6.8075646123816683E-3</v>
      </c>
    </row>
    <row r="39" spans="1:10" x14ac:dyDescent="0.3">
      <c r="A39" s="13">
        <v>43958</v>
      </c>
      <c r="B39" t="s">
        <v>15</v>
      </c>
      <c r="C39">
        <v>319110</v>
      </c>
      <c r="D39">
        <v>33763989</v>
      </c>
      <c r="E39">
        <v>125</v>
      </c>
      <c r="F39">
        <v>18014</v>
      </c>
      <c r="G39">
        <v>16675</v>
      </c>
      <c r="H39" cm="1">
        <f t="array" ref="H39">SUMPRODUCT((I39:I1037=22)*(D39:D1037))</f>
        <v>686006825.64884996</v>
      </c>
      <c r="I39">
        <f>WEEKNUM(Слияние1[[#This Row],[Дата]],2)</f>
        <v>19</v>
      </c>
      <c r="J39" s="15">
        <f>Слияние1[[#This Row],[Товарооборот, руб]] / SUM(Слияние1[Товарооборот, руб])</f>
        <v>6.8040195244042576E-3</v>
      </c>
    </row>
    <row r="40" spans="1:10" x14ac:dyDescent="0.3">
      <c r="A40" s="13">
        <v>43951</v>
      </c>
      <c r="B40" t="s">
        <v>14</v>
      </c>
      <c r="C40">
        <v>311131.5</v>
      </c>
      <c r="D40">
        <v>32418879</v>
      </c>
      <c r="E40">
        <v>129</v>
      </c>
      <c r="F40">
        <v>18042</v>
      </c>
      <c r="G40">
        <v>16631</v>
      </c>
      <c r="H40" cm="1">
        <f t="array" ref="H40">SUMPRODUCT((I40:I1038=22)*(D40:D1038))</f>
        <v>686006825.64884996</v>
      </c>
      <c r="I40">
        <f>WEEKNUM(Слияние1[[#This Row],[Дата]],2)</f>
        <v>18</v>
      </c>
      <c r="J40" s="15">
        <f>Слияние1[[#This Row],[Товарооборот, руб]] / SUM(Слияние1[Товарооборот, руб])</f>
        <v>6.5329569226935591E-3</v>
      </c>
    </row>
    <row r="41" spans="1:10" x14ac:dyDescent="0.3">
      <c r="A41" s="13">
        <v>43966</v>
      </c>
      <c r="B41" t="s">
        <v>14</v>
      </c>
      <c r="C41">
        <v>318816</v>
      </c>
      <c r="D41">
        <v>32354331</v>
      </c>
      <c r="E41">
        <v>129</v>
      </c>
      <c r="F41">
        <v>17808</v>
      </c>
      <c r="G41">
        <v>16486</v>
      </c>
      <c r="H41" cm="1">
        <f t="array" ref="H41">SUMPRODUCT((I41:I1039=22)*(D41:D1039))</f>
        <v>686006825.64884996</v>
      </c>
      <c r="I41">
        <f>WEEKNUM(Слияние1[[#This Row],[Дата]],2)</f>
        <v>20</v>
      </c>
      <c r="J41" s="15">
        <f>Слияние1[[#This Row],[Товарооборот, руб]] / SUM(Слияние1[Товарооборот, руб])</f>
        <v>6.5199494000261022E-3</v>
      </c>
    </row>
    <row r="42" spans="1:10" x14ac:dyDescent="0.3">
      <c r="A42" s="13">
        <v>43967</v>
      </c>
      <c r="B42" t="s">
        <v>14</v>
      </c>
      <c r="C42">
        <v>321412.5</v>
      </c>
      <c r="D42">
        <v>32235864</v>
      </c>
      <c r="E42">
        <v>129</v>
      </c>
      <c r="F42">
        <v>17914</v>
      </c>
      <c r="G42">
        <v>16631</v>
      </c>
      <c r="H42" cm="1">
        <f t="array" ref="H42">SUMPRODUCT((I42:I1040=22)*(D42:D1040))</f>
        <v>686006825.64884996</v>
      </c>
      <c r="I42">
        <f>WEEKNUM(Слияние1[[#This Row],[Дата]],2)</f>
        <v>20</v>
      </c>
      <c r="J42" s="15">
        <f>Слияние1[[#This Row],[Товарооборот, руб]] / SUM(Слияние1[Товарооборот, руб])</f>
        <v>6.496076279436068E-3</v>
      </c>
    </row>
    <row r="43" spans="1:10" x14ac:dyDescent="0.3">
      <c r="A43" s="13">
        <v>43953</v>
      </c>
      <c r="B43" t="s">
        <v>15</v>
      </c>
      <c r="C43">
        <v>296580</v>
      </c>
      <c r="D43">
        <v>31843737</v>
      </c>
      <c r="E43">
        <v>125</v>
      </c>
      <c r="F43">
        <v>16932</v>
      </c>
      <c r="G43">
        <v>15601</v>
      </c>
      <c r="H43" cm="1">
        <f t="array" ref="H43">SUMPRODUCT((I43:I1041=22)*(D43:D1041))</f>
        <v>686006825.64884996</v>
      </c>
      <c r="I43">
        <f>WEEKNUM(Слияние1[[#This Row],[Дата]],2)</f>
        <v>18</v>
      </c>
      <c r="J43" s="15">
        <f>Слияние1[[#This Row],[Товарооборот, руб]] / SUM(Слияние1[Товарооборот, руб])</f>
        <v>6.4170560024170795E-3</v>
      </c>
    </row>
    <row r="44" spans="1:10" x14ac:dyDescent="0.3">
      <c r="A44" s="13">
        <v>43952</v>
      </c>
      <c r="B44" t="s">
        <v>14</v>
      </c>
      <c r="C44">
        <v>296149.5</v>
      </c>
      <c r="D44">
        <v>31053316.5</v>
      </c>
      <c r="E44">
        <v>129</v>
      </c>
      <c r="F44">
        <v>17002</v>
      </c>
      <c r="G44">
        <v>15570</v>
      </c>
      <c r="H44" cm="1">
        <f t="array" ref="H44">SUMPRODUCT((I44:I1042=22)*(D44:D1042))</f>
        <v>686006825.64884996</v>
      </c>
      <c r="I44">
        <f>WEEKNUM(Слияние1[[#This Row],[Дата]],2)</f>
        <v>18</v>
      </c>
      <c r="J44" s="15">
        <f>Слияние1[[#This Row],[Товарооборот, руб]] / SUM(Слияние1[Товарооборот, руб])</f>
        <v>6.257772793478427E-3</v>
      </c>
    </row>
    <row r="45" spans="1:10" x14ac:dyDescent="0.3">
      <c r="A45" s="13">
        <v>43950</v>
      </c>
      <c r="B45" t="s">
        <v>14</v>
      </c>
      <c r="C45">
        <v>298059</v>
      </c>
      <c r="D45">
        <v>30869287.5</v>
      </c>
      <c r="E45">
        <v>128</v>
      </c>
      <c r="F45">
        <v>17368</v>
      </c>
      <c r="G45">
        <v>16077</v>
      </c>
      <c r="H45" cm="1">
        <f t="array" ref="H45">SUMPRODUCT((I45:I1043=22)*(D45:D1043))</f>
        <v>686006825.64884996</v>
      </c>
      <c r="I45">
        <f>WEEKNUM(Слияние1[[#This Row],[Дата]],2)</f>
        <v>18</v>
      </c>
      <c r="J45" s="15">
        <f>Слияние1[[#This Row],[Товарооборот, руб]] / SUM(Слияние1[Товарооборот, руб])</f>
        <v>6.2206878119302877E-3</v>
      </c>
    </row>
    <row r="46" spans="1:10" x14ac:dyDescent="0.3">
      <c r="A46" s="13">
        <v>43960</v>
      </c>
      <c r="B46" t="s">
        <v>14</v>
      </c>
      <c r="C46">
        <v>285972</v>
      </c>
      <c r="D46">
        <v>29768199</v>
      </c>
      <c r="E46">
        <v>129</v>
      </c>
      <c r="F46">
        <v>16420</v>
      </c>
      <c r="G46">
        <v>15169</v>
      </c>
      <c r="H46" cm="1">
        <f t="array" ref="H46">SUMPRODUCT((I46:I1044=22)*(D46:D1044))</f>
        <v>686006825.64884996</v>
      </c>
      <c r="I46">
        <f>WEEKNUM(Слияние1[[#This Row],[Дата]],2)</f>
        <v>19</v>
      </c>
      <c r="J46" s="15">
        <f>Слияние1[[#This Row],[Товарооборот, руб]] / SUM(Слияние1[Товарооборот, руб])</f>
        <v>5.9987997035051543E-3</v>
      </c>
    </row>
    <row r="47" spans="1:10" x14ac:dyDescent="0.3">
      <c r="A47" s="13">
        <v>43961</v>
      </c>
      <c r="B47" t="s">
        <v>14</v>
      </c>
      <c r="C47">
        <v>287206.5</v>
      </c>
      <c r="D47">
        <v>29536176.10605</v>
      </c>
      <c r="E47">
        <v>129</v>
      </c>
      <c r="F47">
        <v>16437</v>
      </c>
      <c r="G47">
        <v>15285</v>
      </c>
      <c r="H47" cm="1">
        <f t="array" ref="H47">SUMPRODUCT((I47:I1045=22)*(D47:D1045))</f>
        <v>686006825.64884996</v>
      </c>
      <c r="I47">
        <f>WEEKNUM(Слияние1[[#This Row],[Дата]],2)</f>
        <v>19</v>
      </c>
      <c r="J47" s="15">
        <f>Слияние1[[#This Row],[Товарооборот, руб]] / SUM(Слияние1[Товарооборот, руб])</f>
        <v>5.9520431339379568E-3</v>
      </c>
    </row>
    <row r="48" spans="1:10" x14ac:dyDescent="0.3">
      <c r="A48" s="13">
        <v>43973</v>
      </c>
      <c r="B48" t="s">
        <v>14</v>
      </c>
      <c r="C48">
        <v>304092</v>
      </c>
      <c r="D48">
        <v>29465769</v>
      </c>
      <c r="E48">
        <v>129</v>
      </c>
      <c r="F48">
        <v>17088</v>
      </c>
      <c r="G48">
        <v>15804</v>
      </c>
      <c r="H48" cm="1">
        <f t="array" ref="H48">SUMPRODUCT((I48:I1046=22)*(D48:D1046))</f>
        <v>686006825.64884996</v>
      </c>
      <c r="I48">
        <f>WEEKNUM(Слияние1[[#This Row],[Дата]],2)</f>
        <v>21</v>
      </c>
      <c r="J48" s="15">
        <f>Слияние1[[#This Row],[Товарооборот, руб]] / SUM(Слияние1[Товарооборот, руб])</f>
        <v>5.937854901492407E-3</v>
      </c>
    </row>
    <row r="49" spans="1:10" x14ac:dyDescent="0.3">
      <c r="A49" s="13">
        <v>43971</v>
      </c>
      <c r="B49" t="s">
        <v>14</v>
      </c>
      <c r="C49">
        <v>300151.5</v>
      </c>
      <c r="D49">
        <v>29368771.617449999</v>
      </c>
      <c r="E49">
        <v>129</v>
      </c>
      <c r="F49">
        <v>17095</v>
      </c>
      <c r="G49">
        <v>15919</v>
      </c>
      <c r="H49" cm="1">
        <f t="array" ref="H49">SUMPRODUCT((I49:I1047=22)*(D49:D1047))</f>
        <v>686006825.64884996</v>
      </c>
      <c r="I49">
        <f>WEEKNUM(Слияние1[[#This Row],[Дата]],2)</f>
        <v>21</v>
      </c>
      <c r="J49" s="15">
        <f>Слияние1[[#This Row],[Товарооборот, руб]] / SUM(Слияние1[Товарооборот, руб])</f>
        <v>5.9183082749167878E-3</v>
      </c>
    </row>
    <row r="50" spans="1:10" x14ac:dyDescent="0.3">
      <c r="A50" s="13">
        <v>43955</v>
      </c>
      <c r="B50" t="s">
        <v>14</v>
      </c>
      <c r="C50">
        <v>283942.5</v>
      </c>
      <c r="D50">
        <v>29357940</v>
      </c>
      <c r="E50">
        <v>129</v>
      </c>
      <c r="F50">
        <v>16525</v>
      </c>
      <c r="G50">
        <v>15310</v>
      </c>
      <c r="H50" cm="1">
        <f t="array" ref="H50">SUMPRODUCT((I50:I1048=22)*(D50:D1048))</f>
        <v>686006825.64884996</v>
      </c>
      <c r="I50">
        <f>WEEKNUM(Слияние1[[#This Row],[Дата]],2)</f>
        <v>19</v>
      </c>
      <c r="J50" s="15">
        <f>Слияние1[[#This Row],[Товарооборот, руб]] / SUM(Слияние1[Товарооборот, руб])</f>
        <v>5.9161255193007183E-3</v>
      </c>
    </row>
    <row r="51" spans="1:10" x14ac:dyDescent="0.3">
      <c r="A51" s="13">
        <v>43982</v>
      </c>
      <c r="B51" t="s">
        <v>14</v>
      </c>
      <c r="C51">
        <v>294337.5</v>
      </c>
      <c r="D51">
        <v>29327766</v>
      </c>
      <c r="E51">
        <v>129</v>
      </c>
      <c r="F51">
        <v>17235</v>
      </c>
      <c r="G51">
        <v>16052</v>
      </c>
      <c r="H51" cm="1">
        <f t="array" ref="H51">SUMPRODUCT((I51:I1049=22)*(D51:D1049))</f>
        <v>686006825.64884996</v>
      </c>
      <c r="I51">
        <f>WEEKNUM(Слияние1[[#This Row],[Дата]],2)</f>
        <v>22</v>
      </c>
      <c r="J51" s="15">
        <f>Слияние1[[#This Row],[Товарооборот, руб]] / SUM(Слияние1[Товарооборот, руб])</f>
        <v>5.9100449437760258E-3</v>
      </c>
    </row>
    <row r="52" spans="1:10" x14ac:dyDescent="0.3">
      <c r="A52" s="13">
        <v>43978</v>
      </c>
      <c r="B52" t="s">
        <v>14</v>
      </c>
      <c r="C52">
        <v>286558.5</v>
      </c>
      <c r="D52">
        <v>29256993</v>
      </c>
      <c r="E52">
        <v>129</v>
      </c>
      <c r="F52">
        <v>17115</v>
      </c>
      <c r="G52">
        <v>15962</v>
      </c>
      <c r="H52" cm="1">
        <f t="array" ref="H52">SUMPRODUCT((I52:I1050=22)*(D52:D1050))</f>
        <v>656679059.64884996</v>
      </c>
      <c r="I52">
        <f>WEEKNUM(Слияние1[[#This Row],[Дата]],2)</f>
        <v>22</v>
      </c>
      <c r="J52" s="15">
        <f>Слияние1[[#This Row],[Товарооборот, руб]] / SUM(Слияние1[Товарооборот, руб])</f>
        <v>5.8957829774603553E-3</v>
      </c>
    </row>
    <row r="53" spans="1:10" x14ac:dyDescent="0.3">
      <c r="A53" s="13">
        <v>43949</v>
      </c>
      <c r="B53" t="s">
        <v>14</v>
      </c>
      <c r="C53">
        <v>286002</v>
      </c>
      <c r="D53">
        <v>29159032.5</v>
      </c>
      <c r="E53">
        <v>128</v>
      </c>
      <c r="F53">
        <v>16450</v>
      </c>
      <c r="G53">
        <v>15320</v>
      </c>
      <c r="H53" cm="1">
        <f t="array" ref="H53">SUMPRODUCT((I53:I1051=22)*(D53:D1051))</f>
        <v>627422066.64884996</v>
      </c>
      <c r="I53">
        <f>WEEKNUM(Слияние1[[#This Row],[Дата]],2)</f>
        <v>18</v>
      </c>
      <c r="J53" s="15">
        <f>Слияние1[[#This Row],[Товарооборот, руб]] / SUM(Слияние1[Товарооборот, руб])</f>
        <v>5.8760422662955582E-3</v>
      </c>
    </row>
    <row r="54" spans="1:10" x14ac:dyDescent="0.3">
      <c r="A54" s="13">
        <v>43963</v>
      </c>
      <c r="B54" t="s">
        <v>14</v>
      </c>
      <c r="C54">
        <v>281796</v>
      </c>
      <c r="D54">
        <v>29042520</v>
      </c>
      <c r="E54">
        <v>129</v>
      </c>
      <c r="F54">
        <v>16387</v>
      </c>
      <c r="G54">
        <v>15322</v>
      </c>
      <c r="H54" cm="1">
        <f t="array" ref="H54">SUMPRODUCT((I54:I1052=22)*(D54:D1052))</f>
        <v>627422066.64884996</v>
      </c>
      <c r="I54">
        <f>WEEKNUM(Слияние1[[#This Row],[Дата]],2)</f>
        <v>20</v>
      </c>
      <c r="J54" s="15">
        <f>Слияние1[[#This Row],[Товарооборот, руб]] / SUM(Слияние1[Товарооборот, руб])</f>
        <v>5.852563010783505E-3</v>
      </c>
    </row>
    <row r="55" spans="1:10" x14ac:dyDescent="0.3">
      <c r="A55" s="13">
        <v>43957</v>
      </c>
      <c r="B55" t="s">
        <v>14</v>
      </c>
      <c r="C55">
        <v>277512</v>
      </c>
      <c r="D55">
        <v>28770810.105599999</v>
      </c>
      <c r="E55">
        <v>129</v>
      </c>
      <c r="F55">
        <v>16376</v>
      </c>
      <c r="G55">
        <v>15197</v>
      </c>
      <c r="H55" cm="1">
        <f t="array" ref="H55">SUMPRODUCT((I55:I1053=22)*(D55:D1053))</f>
        <v>627422066.64884996</v>
      </c>
      <c r="I55">
        <f>WEEKNUM(Слияние1[[#This Row],[Дата]],2)</f>
        <v>19</v>
      </c>
      <c r="J55" s="15">
        <f>Слияние1[[#This Row],[Товарооборот, руб]] / SUM(Слияние1[Товарооборот, руб])</f>
        <v>5.7978088338859991E-3</v>
      </c>
    </row>
    <row r="56" spans="1:10" x14ac:dyDescent="0.3">
      <c r="A56" s="13">
        <v>43974</v>
      </c>
      <c r="B56" t="s">
        <v>21</v>
      </c>
      <c r="C56">
        <v>292018.5</v>
      </c>
      <c r="D56">
        <v>28590910.5</v>
      </c>
      <c r="E56">
        <v>60</v>
      </c>
      <c r="F56">
        <v>17295</v>
      </c>
      <c r="G56">
        <v>16010</v>
      </c>
      <c r="H56" cm="1">
        <f t="array" ref="H56">SUMPRODUCT((I56:I1054=22)*(D56:D1054))</f>
        <v>627422066.64884996</v>
      </c>
      <c r="I56">
        <f>WEEKNUM(Слияние1[[#This Row],[Дата]],2)</f>
        <v>21</v>
      </c>
      <c r="J56" s="15">
        <f>Слияние1[[#This Row],[Товарооборот, руб]] / SUM(Слияние1[Товарооборот, руб])</f>
        <v>5.7615559957235711E-3</v>
      </c>
    </row>
    <row r="57" spans="1:10" x14ac:dyDescent="0.3">
      <c r="A57" s="13">
        <v>43954</v>
      </c>
      <c r="B57" t="s">
        <v>14</v>
      </c>
      <c r="C57">
        <v>274083</v>
      </c>
      <c r="D57">
        <v>28427001</v>
      </c>
      <c r="E57">
        <v>129</v>
      </c>
      <c r="F57">
        <v>15778</v>
      </c>
      <c r="G57">
        <v>14624</v>
      </c>
      <c r="H57" cm="1">
        <f t="array" ref="H57">SUMPRODUCT((I57:I1055=22)*(D57:D1055))</f>
        <v>627422066.64884996</v>
      </c>
      <c r="I57">
        <f>WEEKNUM(Слияние1[[#This Row],[Дата]],2)</f>
        <v>18</v>
      </c>
      <c r="J57" s="15">
        <f>Слияние1[[#This Row],[Товарооборот, руб]] / SUM(Слияние1[Товарооборот, руб])</f>
        <v>5.7285254365015744E-3</v>
      </c>
    </row>
    <row r="58" spans="1:10" x14ac:dyDescent="0.3">
      <c r="A58" s="13">
        <v>43975</v>
      </c>
      <c r="B58" t="s">
        <v>14</v>
      </c>
      <c r="C58">
        <v>287740.5</v>
      </c>
      <c r="D58">
        <v>28188534</v>
      </c>
      <c r="E58">
        <v>129</v>
      </c>
      <c r="F58">
        <v>16432</v>
      </c>
      <c r="G58">
        <v>15345</v>
      </c>
      <c r="H58" cm="1">
        <f t="array" ref="H58">SUMPRODUCT((I58:I1056=22)*(D58:D1056))</f>
        <v>627422066.64884996</v>
      </c>
      <c r="I58">
        <f>WEEKNUM(Слияние1[[#This Row],[Дата]],2)</f>
        <v>21</v>
      </c>
      <c r="J58" s="15">
        <f>Слияние1[[#This Row],[Товарооборот, руб]] / SUM(Слияние1[Товарооборот, руб])</f>
        <v>5.6804702696809086E-3</v>
      </c>
    </row>
    <row r="59" spans="1:10" x14ac:dyDescent="0.3">
      <c r="A59" s="13">
        <v>43965</v>
      </c>
      <c r="B59" t="s">
        <v>14</v>
      </c>
      <c r="C59">
        <v>274059</v>
      </c>
      <c r="D59">
        <v>28181292</v>
      </c>
      <c r="E59">
        <v>129</v>
      </c>
      <c r="F59">
        <v>15804</v>
      </c>
      <c r="G59">
        <v>14738</v>
      </c>
      <c r="H59" cm="1">
        <f t="array" ref="H59">SUMPRODUCT((I59:I1057=22)*(D59:D1057))</f>
        <v>627422066.64884996</v>
      </c>
      <c r="I59">
        <f>WEEKNUM(Слияние1[[#This Row],[Дата]],2)</f>
        <v>20</v>
      </c>
      <c r="J59" s="15">
        <f>Слияние1[[#This Row],[Товарооборот, руб]] / SUM(Слияние1[Товарооборот, руб])</f>
        <v>5.6790108831908902E-3</v>
      </c>
    </row>
    <row r="60" spans="1:10" x14ac:dyDescent="0.3">
      <c r="A60" s="13">
        <v>43979</v>
      </c>
      <c r="B60" t="s">
        <v>14</v>
      </c>
      <c r="C60">
        <v>278491.5</v>
      </c>
      <c r="D60">
        <v>28151004.75</v>
      </c>
      <c r="E60">
        <v>129</v>
      </c>
      <c r="F60">
        <v>16453</v>
      </c>
      <c r="G60">
        <v>15289</v>
      </c>
      <c r="H60" cm="1">
        <f t="array" ref="H60">SUMPRODUCT((I60:I1058=22)*(D60:D1058))</f>
        <v>627422066.64884996</v>
      </c>
      <c r="I60">
        <f>WEEKNUM(Слияние1[[#This Row],[Дата]],2)</f>
        <v>22</v>
      </c>
      <c r="J60" s="15">
        <f>Слияние1[[#This Row],[Товарооборот, руб]] / SUM(Слияние1[Товарооборот, руб])</f>
        <v>5.6729074858600679E-3</v>
      </c>
    </row>
    <row r="61" spans="1:10" x14ac:dyDescent="0.3">
      <c r="A61" s="13">
        <v>43977</v>
      </c>
      <c r="B61" t="s">
        <v>14</v>
      </c>
      <c r="C61">
        <v>276966</v>
      </c>
      <c r="D61">
        <v>27872617.898850001</v>
      </c>
      <c r="E61">
        <v>129</v>
      </c>
      <c r="F61">
        <v>16459</v>
      </c>
      <c r="G61">
        <v>15355</v>
      </c>
      <c r="H61" cm="1">
        <f t="array" ref="H61">SUMPRODUCT((I61:I1059=22)*(D61:D1059))</f>
        <v>599271061.89884996</v>
      </c>
      <c r="I61">
        <f>WEEKNUM(Слияние1[[#This Row],[Дата]],2)</f>
        <v>22</v>
      </c>
      <c r="J61" s="15">
        <f>Слияние1[[#This Row],[Товарооборот, руб]] / SUM(Слияние1[Товарооборот, руб])</f>
        <v>5.6168077883224929E-3</v>
      </c>
    </row>
    <row r="62" spans="1:10" x14ac:dyDescent="0.3">
      <c r="A62" s="13">
        <v>43972</v>
      </c>
      <c r="B62" t="s">
        <v>14</v>
      </c>
      <c r="C62">
        <v>288936</v>
      </c>
      <c r="D62">
        <v>27852900</v>
      </c>
      <c r="E62">
        <v>129</v>
      </c>
      <c r="F62">
        <v>16373</v>
      </c>
      <c r="G62">
        <v>15223</v>
      </c>
      <c r="H62" cm="1">
        <f t="array" ref="H62">SUMPRODUCT((I62:I1060=22)*(D62:D1060))</f>
        <v>571398444</v>
      </c>
      <c r="I62">
        <f>WEEKNUM(Слияние1[[#This Row],[Дата]],2)</f>
        <v>21</v>
      </c>
      <c r="J62" s="15">
        <f>Слияние1[[#This Row],[Товарооборот, руб]] / SUM(Слияние1[Товарооборот, руб])</f>
        <v>5.6128342954761459E-3</v>
      </c>
    </row>
    <row r="63" spans="1:10" x14ac:dyDescent="0.3">
      <c r="A63" s="13">
        <v>43983</v>
      </c>
      <c r="B63" t="s">
        <v>14</v>
      </c>
      <c r="C63">
        <v>272926.5</v>
      </c>
      <c r="D63">
        <v>27770092.5</v>
      </c>
      <c r="E63">
        <v>128</v>
      </c>
      <c r="F63">
        <v>16285</v>
      </c>
      <c r="G63">
        <v>15130</v>
      </c>
      <c r="H63" cm="1">
        <f t="array" ref="H63">SUMPRODUCT((I63:I1061=22)*(D63:D1061))</f>
        <v>571398444</v>
      </c>
      <c r="I63">
        <f>WEEKNUM(Слияние1[[#This Row],[Дата]],2)</f>
        <v>23</v>
      </c>
      <c r="J63" s="15">
        <f>Слияние1[[#This Row],[Товарооборот, руб]] / SUM(Слияние1[Товарооборот, руб])</f>
        <v>5.5961471721991214E-3</v>
      </c>
    </row>
    <row r="64" spans="1:10" x14ac:dyDescent="0.3">
      <c r="A64" s="13">
        <v>43969</v>
      </c>
      <c r="B64" t="s">
        <v>14</v>
      </c>
      <c r="C64">
        <v>273900</v>
      </c>
      <c r="D64">
        <v>27535284.147600003</v>
      </c>
      <c r="E64">
        <v>129</v>
      </c>
      <c r="F64">
        <v>16110</v>
      </c>
      <c r="G64">
        <v>14992</v>
      </c>
      <c r="H64" cm="1">
        <f t="array" ref="H64">SUMPRODUCT((I64:I1062=22)*(D64:D1062))</f>
        <v>571398444</v>
      </c>
      <c r="I64">
        <f>WEEKNUM(Слияние1[[#This Row],[Дата]],2)</f>
        <v>21</v>
      </c>
      <c r="J64" s="15">
        <f>Слияние1[[#This Row],[Товарооборот, руб]] / SUM(Слияние1[Товарооборот, руб])</f>
        <v>5.5488292852568294E-3</v>
      </c>
    </row>
    <row r="65" spans="1:10" x14ac:dyDescent="0.3">
      <c r="A65" s="13">
        <v>43956</v>
      </c>
      <c r="B65" t="s">
        <v>14</v>
      </c>
      <c r="C65">
        <v>262734</v>
      </c>
      <c r="D65">
        <v>27278441.145</v>
      </c>
      <c r="E65">
        <v>129</v>
      </c>
      <c r="F65">
        <v>15665</v>
      </c>
      <c r="G65">
        <v>14501</v>
      </c>
      <c r="H65" cm="1">
        <f t="array" ref="H65">SUMPRODUCT((I65:I1063=22)*(D65:D1063))</f>
        <v>571398444</v>
      </c>
      <c r="I65">
        <f>WEEKNUM(Слияние1[[#This Row],[Дата]],2)</f>
        <v>19</v>
      </c>
      <c r="J65" s="15">
        <f>Слияние1[[#This Row],[Товарооборот, руб]] / SUM(Слияние1[Товарооборот, руб])</f>
        <v>5.4970710405661018E-3</v>
      </c>
    </row>
    <row r="66" spans="1:10" x14ac:dyDescent="0.3">
      <c r="A66" s="13">
        <v>43976</v>
      </c>
      <c r="B66" t="s">
        <v>14</v>
      </c>
      <c r="C66">
        <v>266983.5</v>
      </c>
      <c r="D66">
        <v>27165913.5</v>
      </c>
      <c r="E66">
        <v>129</v>
      </c>
      <c r="F66">
        <v>15822</v>
      </c>
      <c r="G66">
        <v>14753</v>
      </c>
      <c r="H66" cm="1">
        <f t="array" ref="H66">SUMPRODUCT((I66:I1064=22)*(D66:D1064))</f>
        <v>571398444</v>
      </c>
      <c r="I66">
        <f>WEEKNUM(Слияние1[[#This Row],[Дата]],2)</f>
        <v>22</v>
      </c>
      <c r="J66" s="15">
        <f>Слияние1[[#This Row],[Товарооборот, руб]] / SUM(Слияние1[Товарооборот, руб])</f>
        <v>5.4743948012859851E-3</v>
      </c>
    </row>
    <row r="67" spans="1:10" x14ac:dyDescent="0.3">
      <c r="A67" s="13">
        <v>43970</v>
      </c>
      <c r="B67" t="s">
        <v>14</v>
      </c>
      <c r="C67">
        <v>276568.5</v>
      </c>
      <c r="D67">
        <v>27093624</v>
      </c>
      <c r="E67">
        <v>129</v>
      </c>
      <c r="F67">
        <v>16191</v>
      </c>
      <c r="G67">
        <v>15102</v>
      </c>
      <c r="H67" cm="1">
        <f t="array" ref="H67">SUMPRODUCT((I67:I1065=22)*(D67:D1065))</f>
        <v>544232530.5</v>
      </c>
      <c r="I67">
        <f>WEEKNUM(Слияние1[[#This Row],[Дата]],2)</f>
        <v>21</v>
      </c>
      <c r="J67" s="15">
        <f>Слияние1[[#This Row],[Товарооборот, руб]] / SUM(Слияние1[Товарооборот, руб])</f>
        <v>5.4598272343610752E-3</v>
      </c>
    </row>
    <row r="68" spans="1:10" x14ac:dyDescent="0.3">
      <c r="A68" s="13">
        <v>43974</v>
      </c>
      <c r="B68" t="s">
        <v>22</v>
      </c>
      <c r="C68">
        <v>275793</v>
      </c>
      <c r="D68">
        <v>26806626</v>
      </c>
      <c r="E68">
        <v>54</v>
      </c>
      <c r="F68">
        <v>16221</v>
      </c>
      <c r="G68">
        <v>15065</v>
      </c>
      <c r="H68" cm="1">
        <f t="array" ref="H68">SUMPRODUCT((I68:I1066=22)*(D68:D1066))</f>
        <v>544232530.5</v>
      </c>
      <c r="I68">
        <f>WEEKNUM(Слияние1[[#This Row],[Дата]],2)</f>
        <v>21</v>
      </c>
      <c r="J68" s="15">
        <f>Слияние1[[#This Row],[Товарооборот, руб]] / SUM(Слияние1[Товарооборот, руб])</f>
        <v>5.4019922434935877E-3</v>
      </c>
    </row>
    <row r="69" spans="1:10" x14ac:dyDescent="0.3">
      <c r="A69" s="13">
        <v>43968</v>
      </c>
      <c r="B69" t="s">
        <v>14</v>
      </c>
      <c r="C69">
        <v>269029.5</v>
      </c>
      <c r="D69">
        <v>26659930.5</v>
      </c>
      <c r="E69">
        <v>129</v>
      </c>
      <c r="F69">
        <v>15744</v>
      </c>
      <c r="G69">
        <v>14685</v>
      </c>
      <c r="H69" cm="1">
        <f t="array" ref="H69">SUMPRODUCT((I69:I1067=22)*(D69:D1067))</f>
        <v>544232530.5</v>
      </c>
      <c r="I69">
        <f>WEEKNUM(Слияние1[[#This Row],[Дата]],2)</f>
        <v>20</v>
      </c>
      <c r="J69" s="15">
        <f>Слияние1[[#This Row],[Товарооборот, руб]] / SUM(Слияние1[Товарооборот, руб])</f>
        <v>5.372430598803375E-3</v>
      </c>
    </row>
    <row r="70" spans="1:10" x14ac:dyDescent="0.3">
      <c r="A70" s="13">
        <v>43954</v>
      </c>
      <c r="B70" t="s">
        <v>21</v>
      </c>
      <c r="C70">
        <v>257215.5</v>
      </c>
      <c r="D70">
        <v>26492278.5</v>
      </c>
      <c r="E70">
        <v>59</v>
      </c>
      <c r="F70">
        <v>15277</v>
      </c>
      <c r="G70">
        <v>14163</v>
      </c>
      <c r="H70" cm="1">
        <f t="array" ref="H70">SUMPRODUCT((I70:I1068=22)*(D70:D1068))</f>
        <v>544232530.5</v>
      </c>
      <c r="I70">
        <f>WEEKNUM(Слияние1[[#This Row],[Дата]],2)</f>
        <v>18</v>
      </c>
      <c r="J70" s="15">
        <f>Слияние1[[#This Row],[Товарооборот, руб]] / SUM(Слияние1[Товарооборот, руб])</f>
        <v>5.3386458620145608E-3</v>
      </c>
    </row>
    <row r="71" spans="1:10" x14ac:dyDescent="0.3">
      <c r="A71" s="13">
        <v>43964</v>
      </c>
      <c r="B71" t="s">
        <v>14</v>
      </c>
      <c r="C71">
        <v>258459</v>
      </c>
      <c r="D71">
        <v>26467453.5</v>
      </c>
      <c r="E71">
        <v>129</v>
      </c>
      <c r="F71">
        <v>15304</v>
      </c>
      <c r="G71">
        <v>14315</v>
      </c>
      <c r="H71" cm="1">
        <f t="array" ref="H71">SUMPRODUCT((I71:I1069=22)*(D71:D1069))</f>
        <v>544232530.5</v>
      </c>
      <c r="I71">
        <f>WEEKNUM(Слияние1[[#This Row],[Дата]],2)</f>
        <v>20</v>
      </c>
      <c r="J71" s="15">
        <f>Слияние1[[#This Row],[Товарооборот, руб]] / SUM(Слияние1[Товарооборот, руб])</f>
        <v>5.3336432012005986E-3</v>
      </c>
    </row>
    <row r="72" spans="1:10" x14ac:dyDescent="0.3">
      <c r="A72" s="13">
        <v>43954</v>
      </c>
      <c r="B72" t="s">
        <v>22</v>
      </c>
      <c r="C72">
        <v>248148</v>
      </c>
      <c r="D72">
        <v>25519072.5</v>
      </c>
      <c r="E72">
        <v>54</v>
      </c>
      <c r="F72">
        <v>14823</v>
      </c>
      <c r="G72">
        <v>13751</v>
      </c>
      <c r="H72" cm="1">
        <f t="array" ref="H72">SUMPRODUCT((I72:I1070=22)*(D72:D1070))</f>
        <v>544232530.5</v>
      </c>
      <c r="I72">
        <f>WEEKNUM(Слияние1[[#This Row],[Дата]],2)</f>
        <v>18</v>
      </c>
      <c r="J72" s="15">
        <f>Слияние1[[#This Row],[Товарооборот, руб]] / SUM(Слияние1[Товарооборот, руб])</f>
        <v>5.1425282579818325E-3</v>
      </c>
    </row>
    <row r="73" spans="1:10" x14ac:dyDescent="0.3">
      <c r="A73" s="13">
        <v>43952</v>
      </c>
      <c r="B73" t="s">
        <v>21</v>
      </c>
      <c r="C73">
        <v>239409</v>
      </c>
      <c r="D73">
        <v>25413351</v>
      </c>
      <c r="E73">
        <v>59</v>
      </c>
      <c r="F73">
        <v>15222</v>
      </c>
      <c r="G73">
        <v>13873</v>
      </c>
      <c r="H73" cm="1">
        <f t="array" ref="H73">SUMPRODUCT((I73:I1071=22)*(D73:D1071))</f>
        <v>544232530.5</v>
      </c>
      <c r="I73">
        <f>WEEKNUM(Слияние1[[#This Row],[Дата]],2)</f>
        <v>18</v>
      </c>
      <c r="J73" s="15">
        <f>Слияние1[[#This Row],[Товарооборот, руб]] / SUM(Слияние1[Товарооборот, руб])</f>
        <v>5.1212235729770688E-3</v>
      </c>
    </row>
    <row r="74" spans="1:10" x14ac:dyDescent="0.3">
      <c r="A74" s="13">
        <v>43958</v>
      </c>
      <c r="B74" t="s">
        <v>14</v>
      </c>
      <c r="C74">
        <v>247813.5</v>
      </c>
      <c r="D74">
        <v>25325271</v>
      </c>
      <c r="E74">
        <v>129</v>
      </c>
      <c r="F74">
        <v>14582</v>
      </c>
      <c r="G74">
        <v>13512</v>
      </c>
      <c r="H74" cm="1">
        <f t="array" ref="H74">SUMPRODUCT((I74:I1072=22)*(D74:D1072))</f>
        <v>544232530.5</v>
      </c>
      <c r="I74">
        <f>WEEKNUM(Слияние1[[#This Row],[Дата]],2)</f>
        <v>19</v>
      </c>
      <c r="J74" s="15">
        <f>Слияние1[[#This Row],[Товарооборот, руб]] / SUM(Слияние1[Товарооборот, руб])</f>
        <v>5.1034739510437861E-3</v>
      </c>
    </row>
    <row r="75" spans="1:10" x14ac:dyDescent="0.3">
      <c r="A75" s="13">
        <v>43977</v>
      </c>
      <c r="B75" t="s">
        <v>21</v>
      </c>
      <c r="C75">
        <v>244905</v>
      </c>
      <c r="D75">
        <v>25163431.5</v>
      </c>
      <c r="E75">
        <v>59</v>
      </c>
      <c r="F75">
        <v>15369</v>
      </c>
      <c r="G75">
        <v>14299</v>
      </c>
      <c r="H75" cm="1">
        <f t="array" ref="H75">SUMPRODUCT((I75:I1073=22)*(D75:D1073))</f>
        <v>544232530.5</v>
      </c>
      <c r="I75">
        <f>WEEKNUM(Слияние1[[#This Row],[Дата]],2)</f>
        <v>22</v>
      </c>
      <c r="J75" s="15">
        <f>Слияние1[[#This Row],[Товарооборот, руб]] / SUM(Слияние1[Товарооборот, руб])</f>
        <v>5.0708605321192679E-3</v>
      </c>
    </row>
    <row r="76" spans="1:10" x14ac:dyDescent="0.3">
      <c r="A76" s="13">
        <v>43961</v>
      </c>
      <c r="B76" t="s">
        <v>21</v>
      </c>
      <c r="C76">
        <v>243825</v>
      </c>
      <c r="D76">
        <v>24890404.5</v>
      </c>
      <c r="E76">
        <v>59</v>
      </c>
      <c r="F76">
        <v>14569</v>
      </c>
      <c r="G76">
        <v>13566</v>
      </c>
      <c r="H76" cm="1">
        <f t="array" ref="H76">SUMPRODUCT((I76:I1074=22)*(D76:D1074))</f>
        <v>519069099</v>
      </c>
      <c r="I76">
        <f>WEEKNUM(Слияние1[[#This Row],[Дата]],2)</f>
        <v>19</v>
      </c>
      <c r="J76" s="15">
        <f>Слияние1[[#This Row],[Товарооборот, руб]] / SUM(Слияние1[Товарооборот, руб])</f>
        <v>5.0158409359841814E-3</v>
      </c>
    </row>
    <row r="77" spans="1:10" x14ac:dyDescent="0.3">
      <c r="A77" s="13">
        <v>43962</v>
      </c>
      <c r="B77" t="s">
        <v>14</v>
      </c>
      <c r="C77">
        <v>237099</v>
      </c>
      <c r="D77">
        <v>24628233.223949999</v>
      </c>
      <c r="E77">
        <v>129</v>
      </c>
      <c r="F77">
        <v>14043</v>
      </c>
      <c r="G77">
        <v>13167</v>
      </c>
      <c r="H77" cm="1">
        <f t="array" ref="H77">SUMPRODUCT((I77:I1075=22)*(D77:D1075))</f>
        <v>519069099</v>
      </c>
      <c r="I77">
        <f>WEEKNUM(Слияние1[[#This Row],[Дата]],2)</f>
        <v>20</v>
      </c>
      <c r="J77" s="15">
        <f>Слияние1[[#This Row],[Товарооборот, руб]] / SUM(Слияние1[Товарооборот, руб])</f>
        <v>4.9630089533359758E-3</v>
      </c>
    </row>
    <row r="78" spans="1:10" x14ac:dyDescent="0.3">
      <c r="A78" s="13">
        <v>43981</v>
      </c>
      <c r="B78" t="s">
        <v>21</v>
      </c>
      <c r="C78">
        <v>246414</v>
      </c>
      <c r="D78">
        <v>24527245.5</v>
      </c>
      <c r="E78">
        <v>59</v>
      </c>
      <c r="F78">
        <v>15030</v>
      </c>
      <c r="G78">
        <v>13956</v>
      </c>
      <c r="H78" cm="1">
        <f t="array" ref="H78">SUMPRODUCT((I78:I1076=22)*(D78:D1076))</f>
        <v>519069099</v>
      </c>
      <c r="I78">
        <f>WEEKNUM(Слияние1[[#This Row],[Дата]],2)</f>
        <v>22</v>
      </c>
      <c r="J78" s="15">
        <f>Слияние1[[#This Row],[Товарооборот, руб]] / SUM(Слияние1[Товарооборот, руб])</f>
        <v>4.9426582049252668E-3</v>
      </c>
    </row>
    <row r="79" spans="1:10" x14ac:dyDescent="0.3">
      <c r="A79" s="13">
        <v>43953</v>
      </c>
      <c r="B79" t="s">
        <v>14</v>
      </c>
      <c r="C79">
        <v>232903.5</v>
      </c>
      <c r="D79">
        <v>24342016.5</v>
      </c>
      <c r="E79">
        <v>129</v>
      </c>
      <c r="F79">
        <v>14009</v>
      </c>
      <c r="G79">
        <v>12920</v>
      </c>
      <c r="H79" cm="1">
        <f t="array" ref="H79">SUMPRODUCT((I79:I1077=22)*(D79:D1077))</f>
        <v>494541853.5</v>
      </c>
      <c r="I79">
        <f>WEEKNUM(Слияние1[[#This Row],[Дата]],2)</f>
        <v>18</v>
      </c>
      <c r="J79" s="15">
        <f>Слияние1[[#This Row],[Товарооборот, руб]] / SUM(Слияние1[Товарооборот, руб])</f>
        <v>4.9053314029148211E-3</v>
      </c>
    </row>
    <row r="80" spans="1:10" x14ac:dyDescent="0.3">
      <c r="A80" s="13">
        <v>43955</v>
      </c>
      <c r="B80" t="s">
        <v>21</v>
      </c>
      <c r="C80">
        <v>237544.5</v>
      </c>
      <c r="D80">
        <v>24292218</v>
      </c>
      <c r="E80">
        <v>59</v>
      </c>
      <c r="F80">
        <v>14423</v>
      </c>
      <c r="G80">
        <v>13432</v>
      </c>
      <c r="H80" cm="1">
        <f t="array" ref="H80">SUMPRODUCT((I80:I1078=22)*(D80:D1078))</f>
        <v>494541853.5</v>
      </c>
      <c r="I80">
        <f>WEEKNUM(Слияние1[[#This Row],[Дата]],2)</f>
        <v>19</v>
      </c>
      <c r="J80" s="15">
        <f>Слияние1[[#This Row],[Товарооборот, руб]] / SUM(Слияние1[Товарооборот, руб])</f>
        <v>4.895296156004687E-3</v>
      </c>
    </row>
    <row r="81" spans="1:10" x14ac:dyDescent="0.3">
      <c r="A81" s="13">
        <v>43981</v>
      </c>
      <c r="B81" t="s">
        <v>22</v>
      </c>
      <c r="C81">
        <v>244734</v>
      </c>
      <c r="D81">
        <v>24151980</v>
      </c>
      <c r="E81">
        <v>54</v>
      </c>
      <c r="F81">
        <v>14590</v>
      </c>
      <c r="G81">
        <v>13551</v>
      </c>
      <c r="H81" cm="1">
        <f t="array" ref="H81">SUMPRODUCT((I81:I1079=22)*(D81:D1079))</f>
        <v>494541853.5</v>
      </c>
      <c r="I81">
        <f>WEEKNUM(Слияние1[[#This Row],[Дата]],2)</f>
        <v>22</v>
      </c>
      <c r="J81" s="15">
        <f>Слияние1[[#This Row],[Товарооборот, руб]] / SUM(Слияние1[Товарооборот, руб])</f>
        <v>4.8670358076772606E-3</v>
      </c>
    </row>
    <row r="82" spans="1:10" x14ac:dyDescent="0.3">
      <c r="A82" s="13">
        <v>43952</v>
      </c>
      <c r="B82" t="s">
        <v>22</v>
      </c>
      <c r="C82">
        <v>226540.5</v>
      </c>
      <c r="D82">
        <v>23953536</v>
      </c>
      <c r="E82">
        <v>54</v>
      </c>
      <c r="F82">
        <v>14205</v>
      </c>
      <c r="G82">
        <v>13026</v>
      </c>
      <c r="H82" cm="1">
        <f t="array" ref="H82">SUMPRODUCT((I82:I1080=22)*(D82:D1080))</f>
        <v>470389873.5</v>
      </c>
      <c r="I82">
        <f>WEEKNUM(Слияние1[[#This Row],[Дата]],2)</f>
        <v>18</v>
      </c>
      <c r="J82" s="15">
        <f>Слияние1[[#This Row],[Товарооборот, руб]] / SUM(Слияние1[Товарооборот, руб])</f>
        <v>4.8270459578256663E-3</v>
      </c>
    </row>
    <row r="83" spans="1:10" x14ac:dyDescent="0.3">
      <c r="A83" s="13">
        <v>43959</v>
      </c>
      <c r="B83" t="s">
        <v>21</v>
      </c>
      <c r="C83">
        <v>232701</v>
      </c>
      <c r="D83">
        <v>23881948.5</v>
      </c>
      <c r="E83">
        <v>59</v>
      </c>
      <c r="F83">
        <v>14098</v>
      </c>
      <c r="G83">
        <v>13106</v>
      </c>
      <c r="H83" cm="1">
        <f t="array" ref="H83">SUMPRODUCT((I83:I1081=22)*(D83:D1081))</f>
        <v>470389873.5</v>
      </c>
      <c r="I83">
        <f>WEEKNUM(Слияние1[[#This Row],[Дата]],2)</f>
        <v>19</v>
      </c>
      <c r="J83" s="15">
        <f>Слияние1[[#This Row],[Товарооборот, руб]] / SUM(Слияние1[Товарооборот, руб])</f>
        <v>4.8126198558712053E-3</v>
      </c>
    </row>
    <row r="84" spans="1:10" x14ac:dyDescent="0.3">
      <c r="A84" s="13">
        <v>43977</v>
      </c>
      <c r="B84" t="s">
        <v>22</v>
      </c>
      <c r="C84">
        <v>232369.5</v>
      </c>
      <c r="D84">
        <v>23856345</v>
      </c>
      <c r="E84">
        <v>54</v>
      </c>
      <c r="F84">
        <v>14482</v>
      </c>
      <c r="G84">
        <v>13510</v>
      </c>
      <c r="H84" cm="1">
        <f t="array" ref="H84">SUMPRODUCT((I84:I1082=22)*(D84:D1082))</f>
        <v>470389873.5</v>
      </c>
      <c r="I84">
        <f>WEEKNUM(Слияние1[[#This Row],[Дата]],2)</f>
        <v>22</v>
      </c>
      <c r="J84" s="15">
        <f>Слияние1[[#This Row],[Товарооборот, руб]] / SUM(Слияние1[Товарооборот, руб])</f>
        <v>4.8074603140323222E-3</v>
      </c>
    </row>
    <row r="85" spans="1:10" x14ac:dyDescent="0.3">
      <c r="A85" s="13">
        <v>43967</v>
      </c>
      <c r="B85" t="s">
        <v>21</v>
      </c>
      <c r="C85">
        <v>236551.5</v>
      </c>
      <c r="D85">
        <v>23689383</v>
      </c>
      <c r="E85">
        <v>60</v>
      </c>
      <c r="F85">
        <v>14049</v>
      </c>
      <c r="G85">
        <v>13118</v>
      </c>
      <c r="H85" cm="1">
        <f t="array" ref="H85">SUMPRODUCT((I85:I1083=22)*(D85:D1083))</f>
        <v>446533528.5</v>
      </c>
      <c r="I85">
        <f>WEEKNUM(Слияние1[[#This Row],[Дата]],2)</f>
        <v>20</v>
      </c>
      <c r="J85" s="15">
        <f>Слияние1[[#This Row],[Товарооборот, руб]] / SUM(Слияние1[Товарооборот, руб])</f>
        <v>4.7738146240093341E-3</v>
      </c>
    </row>
    <row r="86" spans="1:10" x14ac:dyDescent="0.3">
      <c r="A86" s="13">
        <v>43961</v>
      </c>
      <c r="B86" t="s">
        <v>22</v>
      </c>
      <c r="C86">
        <v>231559.5</v>
      </c>
      <c r="D86">
        <v>23443725</v>
      </c>
      <c r="E86">
        <v>54</v>
      </c>
      <c r="F86">
        <v>13832</v>
      </c>
      <c r="G86">
        <v>12864</v>
      </c>
      <c r="H86" cm="1">
        <f t="array" ref="H86">SUMPRODUCT((I86:I1084=22)*(D86:D1084))</f>
        <v>446533528.5</v>
      </c>
      <c r="I86">
        <f>WEEKNUM(Слияние1[[#This Row],[Дата]],2)</f>
        <v>19</v>
      </c>
      <c r="J86" s="15">
        <f>Слияние1[[#This Row],[Товарооборот, руб]] / SUM(Слияние1[Товарооборот, руб])</f>
        <v>4.7243103480682988E-3</v>
      </c>
    </row>
    <row r="87" spans="1:10" x14ac:dyDescent="0.3">
      <c r="A87" s="13">
        <v>43980</v>
      </c>
      <c r="B87" t="s">
        <v>21</v>
      </c>
      <c r="C87">
        <v>232102.5</v>
      </c>
      <c r="D87">
        <v>23120443.5</v>
      </c>
      <c r="E87">
        <v>59</v>
      </c>
      <c r="F87">
        <v>14507</v>
      </c>
      <c r="G87">
        <v>13386</v>
      </c>
      <c r="H87" cm="1">
        <f t="array" ref="H87">SUMPRODUCT((I87:I1085=22)*(D87:D1085))</f>
        <v>446533528.5</v>
      </c>
      <c r="I87">
        <f>WEEKNUM(Слияние1[[#This Row],[Дата]],2)</f>
        <v>22</v>
      </c>
      <c r="J87" s="15">
        <f>Слияние1[[#This Row],[Товарооборот, руб]] / SUM(Слияние1[Товарооборот, руб])</f>
        <v>4.6591636132474008E-3</v>
      </c>
    </row>
    <row r="88" spans="1:10" x14ac:dyDescent="0.3">
      <c r="A88" s="13">
        <v>43966</v>
      </c>
      <c r="B88" t="s">
        <v>21</v>
      </c>
      <c r="C88">
        <v>230896.5</v>
      </c>
      <c r="D88">
        <v>23085222</v>
      </c>
      <c r="E88">
        <v>60</v>
      </c>
      <c r="F88">
        <v>13544</v>
      </c>
      <c r="G88">
        <v>12643</v>
      </c>
      <c r="H88" cm="1">
        <f t="array" ref="H88">SUMPRODUCT((I88:I1086=22)*(D88:D1086))</f>
        <v>423413085</v>
      </c>
      <c r="I88">
        <f>WEEKNUM(Слияние1[[#This Row],[Дата]],2)</f>
        <v>20</v>
      </c>
      <c r="J88" s="15">
        <f>Слияние1[[#This Row],[Товарооборот, руб]] / SUM(Слияние1[Товарооборот, руб])</f>
        <v>4.6520658804031327E-3</v>
      </c>
    </row>
    <row r="89" spans="1:10" x14ac:dyDescent="0.3">
      <c r="A89" s="13">
        <v>43957</v>
      </c>
      <c r="B89" t="s">
        <v>21</v>
      </c>
      <c r="C89">
        <v>224779.5</v>
      </c>
      <c r="D89">
        <v>23032992</v>
      </c>
      <c r="E89">
        <v>59</v>
      </c>
      <c r="F89">
        <v>14103</v>
      </c>
      <c r="G89">
        <v>13118</v>
      </c>
      <c r="H89" cm="1">
        <f t="array" ref="H89">SUMPRODUCT((I89:I1087=22)*(D89:D1087))</f>
        <v>423413085</v>
      </c>
      <c r="I89">
        <f>WEEKNUM(Слияние1[[#This Row],[Дата]],2)</f>
        <v>19</v>
      </c>
      <c r="J89" s="15">
        <f>Слияние1[[#This Row],[Товарооборот, руб]] / SUM(Слияние1[Товарооборот, руб])</f>
        <v>4.6415406447812514E-3</v>
      </c>
    </row>
    <row r="90" spans="1:10" x14ac:dyDescent="0.3">
      <c r="A90" s="13">
        <v>43959</v>
      </c>
      <c r="B90" t="s">
        <v>22</v>
      </c>
      <c r="C90">
        <v>225076.5</v>
      </c>
      <c r="D90">
        <v>22846078.5</v>
      </c>
      <c r="E90">
        <v>54</v>
      </c>
      <c r="F90">
        <v>13563</v>
      </c>
      <c r="G90">
        <v>12604</v>
      </c>
      <c r="H90" cm="1">
        <f t="array" ref="H90">SUMPRODUCT((I90:I1088=22)*(D90:D1088))</f>
        <v>423413085</v>
      </c>
      <c r="I90">
        <f>WEEKNUM(Слияние1[[#This Row],[Дата]],2)</f>
        <v>19</v>
      </c>
      <c r="J90" s="15">
        <f>Слияние1[[#This Row],[Товарооборот, руб]] / SUM(Слияние1[Товарооборот, руб])</f>
        <v>4.6038743872968422E-3</v>
      </c>
    </row>
    <row r="91" spans="1:10" x14ac:dyDescent="0.3">
      <c r="A91" s="13">
        <v>43955</v>
      </c>
      <c r="B91" t="s">
        <v>22</v>
      </c>
      <c r="C91">
        <v>223617</v>
      </c>
      <c r="D91">
        <v>22796827.5</v>
      </c>
      <c r="E91">
        <v>54</v>
      </c>
      <c r="F91">
        <v>13606</v>
      </c>
      <c r="G91">
        <v>12697</v>
      </c>
      <c r="H91" cm="1">
        <f t="array" ref="H91">SUMPRODUCT((I91:I1089=22)*(D91:D1089))</f>
        <v>423413085</v>
      </c>
      <c r="I91">
        <f>WEEKNUM(Слияние1[[#This Row],[Дата]],2)</f>
        <v>19</v>
      </c>
      <c r="J91" s="15">
        <f>Слияние1[[#This Row],[Товарооборот, руб]] / SUM(Слияние1[Товарооборот, руб])</f>
        <v>4.5939494709726358E-3</v>
      </c>
    </row>
    <row r="92" spans="1:10" x14ac:dyDescent="0.3">
      <c r="A92" s="13">
        <v>43951</v>
      </c>
      <c r="B92" t="s">
        <v>21</v>
      </c>
      <c r="C92">
        <v>214386</v>
      </c>
      <c r="D92">
        <v>22530000</v>
      </c>
      <c r="E92">
        <v>59</v>
      </c>
      <c r="F92">
        <v>13251</v>
      </c>
      <c r="G92">
        <v>12255</v>
      </c>
      <c r="H92" cm="1">
        <f t="array" ref="H92">SUMPRODUCT((I92:I1090=22)*(D92:D1090))</f>
        <v>423413085</v>
      </c>
      <c r="I92">
        <f>WEEKNUM(Слияние1[[#This Row],[Дата]],2)</f>
        <v>18</v>
      </c>
      <c r="J92" s="15">
        <f>Слияние1[[#This Row],[Товарооборот, руб]] / SUM(Слияние1[Товарооборот, руб])</f>
        <v>4.540179179800939E-3</v>
      </c>
    </row>
    <row r="93" spans="1:10" x14ac:dyDescent="0.3">
      <c r="A93" s="13">
        <v>43958</v>
      </c>
      <c r="B93" t="s">
        <v>21</v>
      </c>
      <c r="C93">
        <v>219411</v>
      </c>
      <c r="D93">
        <v>22460130</v>
      </c>
      <c r="E93">
        <v>59</v>
      </c>
      <c r="F93">
        <v>13495</v>
      </c>
      <c r="G93">
        <v>12517</v>
      </c>
      <c r="H93" cm="1">
        <f t="array" ref="H93">SUMPRODUCT((I93:I1091=22)*(D93:D1091))</f>
        <v>423413085</v>
      </c>
      <c r="I93">
        <f>WEEKNUM(Слияние1[[#This Row],[Дата]],2)</f>
        <v>19</v>
      </c>
      <c r="J93" s="15">
        <f>Слияние1[[#This Row],[Товарооборот, руб]] / SUM(Слияние1[Товарооборот, руб])</f>
        <v>4.5260991833831537E-3</v>
      </c>
    </row>
    <row r="94" spans="1:10" x14ac:dyDescent="0.3">
      <c r="A94" s="13">
        <v>43980</v>
      </c>
      <c r="B94" t="s">
        <v>22</v>
      </c>
      <c r="C94">
        <v>226476</v>
      </c>
      <c r="D94">
        <v>22416151.5</v>
      </c>
      <c r="E94">
        <v>54</v>
      </c>
      <c r="F94">
        <v>14031</v>
      </c>
      <c r="G94">
        <v>12943</v>
      </c>
      <c r="H94" cm="1">
        <f t="array" ref="H94">SUMPRODUCT((I94:I1092=22)*(D94:D1092))</f>
        <v>423413085</v>
      </c>
      <c r="I94">
        <f>WEEKNUM(Слияние1[[#This Row],[Дата]],2)</f>
        <v>22</v>
      </c>
      <c r="J94" s="15">
        <f>Слияние1[[#This Row],[Товарооборот, руб]] / SUM(Слияние1[Товарооборот, руб])</f>
        <v>4.5172367657152056E-3</v>
      </c>
    </row>
    <row r="95" spans="1:10" x14ac:dyDescent="0.3">
      <c r="A95" s="13">
        <v>43973</v>
      </c>
      <c r="B95" t="s">
        <v>21</v>
      </c>
      <c r="C95">
        <v>228334.5</v>
      </c>
      <c r="D95">
        <v>22380772.5</v>
      </c>
      <c r="E95">
        <v>60</v>
      </c>
      <c r="F95">
        <v>14050</v>
      </c>
      <c r="G95">
        <v>13027</v>
      </c>
      <c r="H95" cm="1">
        <f t="array" ref="H95">SUMPRODUCT((I95:I1093=22)*(D95:D1093))</f>
        <v>400996933.5</v>
      </c>
      <c r="I95">
        <f>WEEKNUM(Слияние1[[#This Row],[Дата]],2)</f>
        <v>21</v>
      </c>
      <c r="J95" s="15">
        <f>Слияние1[[#This Row],[Товарооборот, руб]] / SUM(Слияние1[Товарооборот, руб])</f>
        <v>4.51010729393526E-3</v>
      </c>
    </row>
    <row r="96" spans="1:10" x14ac:dyDescent="0.3">
      <c r="A96" s="13">
        <v>43967</v>
      </c>
      <c r="B96" t="s">
        <v>22</v>
      </c>
      <c r="C96">
        <v>225480</v>
      </c>
      <c r="D96">
        <v>22355338.5</v>
      </c>
      <c r="E96">
        <v>54</v>
      </c>
      <c r="F96">
        <v>13170</v>
      </c>
      <c r="G96">
        <v>12299</v>
      </c>
      <c r="H96" cm="1">
        <f t="array" ref="H96">SUMPRODUCT((I96:I1094=22)*(D96:D1094))</f>
        <v>400996933.5</v>
      </c>
      <c r="I96">
        <f>WEEKNUM(Слияние1[[#This Row],[Дата]],2)</f>
        <v>20</v>
      </c>
      <c r="J96" s="15">
        <f>Слияние1[[#This Row],[Товарооборот, руб]] / SUM(Слияние1[Товарооборот, руб])</f>
        <v>4.5049819092366781E-3</v>
      </c>
    </row>
    <row r="97" spans="1:10" x14ac:dyDescent="0.3">
      <c r="A97" s="13">
        <v>43978</v>
      </c>
      <c r="B97" t="s">
        <v>21</v>
      </c>
      <c r="C97">
        <v>215592</v>
      </c>
      <c r="D97">
        <v>22342300.5</v>
      </c>
      <c r="E97">
        <v>59</v>
      </c>
      <c r="F97">
        <v>13942</v>
      </c>
      <c r="G97">
        <v>12986</v>
      </c>
      <c r="H97" cm="1">
        <f t="array" ref="H97">SUMPRODUCT((I97:I1095=22)*(D97:D1095))</f>
        <v>400996933.5</v>
      </c>
      <c r="I97">
        <f>WEEKNUM(Слияние1[[#This Row],[Дата]],2)</f>
        <v>22</v>
      </c>
      <c r="J97" s="15">
        <f>Слияние1[[#This Row],[Товарооборот, руб]] / SUM(Слияние1[Товарооборот, руб])</f>
        <v>4.5023545299137198E-3</v>
      </c>
    </row>
    <row r="98" spans="1:10" x14ac:dyDescent="0.3">
      <c r="A98" s="13">
        <v>43972</v>
      </c>
      <c r="B98" t="s">
        <v>21</v>
      </c>
      <c r="C98">
        <v>224233.5</v>
      </c>
      <c r="D98">
        <v>22253295</v>
      </c>
      <c r="E98">
        <v>60</v>
      </c>
      <c r="F98">
        <v>14005</v>
      </c>
      <c r="G98">
        <v>13002</v>
      </c>
      <c r="H98" cm="1">
        <f t="array" ref="H98">SUMPRODUCT((I98:I1096=22)*(D98:D1096))</f>
        <v>378654633</v>
      </c>
      <c r="I98">
        <f>WEEKNUM(Слияние1[[#This Row],[Дата]],2)</f>
        <v>21</v>
      </c>
      <c r="J98" s="15">
        <f>Слияние1[[#This Row],[Товарооборот, руб]] / SUM(Слияние1[Товарооборот, руб])</f>
        <v>4.4844184039488826E-3</v>
      </c>
    </row>
    <row r="99" spans="1:10" x14ac:dyDescent="0.3">
      <c r="A99" s="13">
        <v>43957</v>
      </c>
      <c r="B99" t="s">
        <v>22</v>
      </c>
      <c r="C99">
        <v>216498</v>
      </c>
      <c r="D99">
        <v>22126444.5</v>
      </c>
      <c r="E99">
        <v>54</v>
      </c>
      <c r="F99">
        <v>13406</v>
      </c>
      <c r="G99">
        <v>12518</v>
      </c>
      <c r="H99" cm="1">
        <f t="array" ref="H99">SUMPRODUCT((I99:I1097=22)*(D99:D1097))</f>
        <v>378654633</v>
      </c>
      <c r="I99">
        <f>WEEKNUM(Слияние1[[#This Row],[Дата]],2)</f>
        <v>19</v>
      </c>
      <c r="J99" s="15">
        <f>Слияние1[[#This Row],[Товарооборот, руб]] / SUM(Слияние1[Товарооборот, руб])</f>
        <v>4.4588558651540607E-3</v>
      </c>
    </row>
    <row r="100" spans="1:10" x14ac:dyDescent="0.3">
      <c r="A100" s="13">
        <v>43971</v>
      </c>
      <c r="B100" t="s">
        <v>21</v>
      </c>
      <c r="C100">
        <v>219622.5</v>
      </c>
      <c r="D100">
        <v>21959286</v>
      </c>
      <c r="E100">
        <v>60</v>
      </c>
      <c r="F100">
        <v>13792</v>
      </c>
      <c r="G100">
        <v>12834</v>
      </c>
      <c r="H100" cm="1">
        <f t="array" ref="H100">SUMPRODUCT((I100:I1098=22)*(D100:D1098))</f>
        <v>378654633</v>
      </c>
      <c r="I100">
        <f>WEEKNUM(Слияние1[[#This Row],[Дата]],2)</f>
        <v>21</v>
      </c>
      <c r="J100" s="15">
        <f>Слияние1[[#This Row],[Товарооборот, руб]] / SUM(Слияние1[Товарооборот, руб])</f>
        <v>4.4251705770303705E-3</v>
      </c>
    </row>
    <row r="101" spans="1:10" x14ac:dyDescent="0.3">
      <c r="A101" s="13">
        <v>43970</v>
      </c>
      <c r="B101" t="s">
        <v>21</v>
      </c>
      <c r="C101">
        <v>223597.5</v>
      </c>
      <c r="D101">
        <v>21945858</v>
      </c>
      <c r="E101">
        <v>60</v>
      </c>
      <c r="F101">
        <v>13867</v>
      </c>
      <c r="G101">
        <v>12987</v>
      </c>
      <c r="H101" cm="1">
        <f t="array" ref="H101">SUMPRODUCT((I101:I1099=22)*(D101:D1099))</f>
        <v>378654633</v>
      </c>
      <c r="I101">
        <f>WEEKNUM(Слияние1[[#This Row],[Дата]],2)</f>
        <v>21</v>
      </c>
      <c r="J101" s="15">
        <f>Слияние1[[#This Row],[Товарооборот, руб]] / SUM(Слияние1[Товарооборот, руб])</f>
        <v>4.4224646060571629E-3</v>
      </c>
    </row>
    <row r="102" spans="1:10" x14ac:dyDescent="0.3">
      <c r="A102" s="13">
        <v>43956</v>
      </c>
      <c r="B102" t="s">
        <v>21</v>
      </c>
      <c r="C102">
        <v>213582</v>
      </c>
      <c r="D102">
        <v>21919435.5</v>
      </c>
      <c r="E102">
        <v>59</v>
      </c>
      <c r="F102">
        <v>13469</v>
      </c>
      <c r="G102">
        <v>12486</v>
      </c>
      <c r="H102" cm="1">
        <f t="array" ref="H102">SUMPRODUCT((I102:I1100=22)*(D102:D1100))</f>
        <v>378654633</v>
      </c>
      <c r="I102">
        <f>WEEKNUM(Слияние1[[#This Row],[Дата]],2)</f>
        <v>19</v>
      </c>
      <c r="J102" s="15">
        <f>Слияние1[[#This Row],[Товарооборот, руб]] / SUM(Слияние1[Товарооборот, руб])</f>
        <v>4.4171400217527558E-3</v>
      </c>
    </row>
    <row r="103" spans="1:10" x14ac:dyDescent="0.3">
      <c r="A103" s="13">
        <v>43966</v>
      </c>
      <c r="B103" t="s">
        <v>22</v>
      </c>
      <c r="C103">
        <v>219772.5</v>
      </c>
      <c r="D103">
        <v>21895294.5</v>
      </c>
      <c r="E103">
        <v>54</v>
      </c>
      <c r="F103">
        <v>12791</v>
      </c>
      <c r="G103">
        <v>11950</v>
      </c>
      <c r="H103" cm="1">
        <f t="array" ref="H103">SUMPRODUCT((I103:I1101=22)*(D103:D1101))</f>
        <v>378654633</v>
      </c>
      <c r="I103">
        <f>WEEKNUM(Слияние1[[#This Row],[Дата]],2)</f>
        <v>20</v>
      </c>
      <c r="J103" s="15">
        <f>Слияние1[[#This Row],[Товарооборот, руб]] / SUM(Слияние1[Товарооборот, руб])</f>
        <v>4.4122751986023084E-3</v>
      </c>
    </row>
    <row r="104" spans="1:10" x14ac:dyDescent="0.3">
      <c r="A104" s="13">
        <v>43951</v>
      </c>
      <c r="B104" t="s">
        <v>22</v>
      </c>
      <c r="C104">
        <v>206038.5</v>
      </c>
      <c r="D104">
        <v>21740460</v>
      </c>
      <c r="E104">
        <v>54</v>
      </c>
      <c r="F104">
        <v>12817</v>
      </c>
      <c r="G104">
        <v>11865</v>
      </c>
      <c r="H104" cm="1">
        <f t="array" ref="H104">SUMPRODUCT((I104:I1102=22)*(D104:D1102))</f>
        <v>378654633</v>
      </c>
      <c r="I104">
        <f>WEEKNUM(Слияние1[[#This Row],[Дата]],2)</f>
        <v>18</v>
      </c>
      <c r="J104" s="15">
        <f>Слияние1[[#This Row],[Товарооборот, руб]] / SUM(Слияние1[Товарооборот, руб])</f>
        <v>4.3810734066265034E-3</v>
      </c>
    </row>
    <row r="105" spans="1:10" x14ac:dyDescent="0.3">
      <c r="A105" s="13">
        <v>43950</v>
      </c>
      <c r="B105" t="s">
        <v>21</v>
      </c>
      <c r="C105">
        <v>208351.5</v>
      </c>
      <c r="D105">
        <v>21615333</v>
      </c>
      <c r="E105">
        <v>59</v>
      </c>
      <c r="F105">
        <v>13186</v>
      </c>
      <c r="G105">
        <v>12251</v>
      </c>
      <c r="H105" cm="1">
        <f t="array" ref="H105">SUMPRODUCT((I105:I1103=22)*(D105:D1103))</f>
        <v>378654633</v>
      </c>
      <c r="I105">
        <f>WEEKNUM(Слияние1[[#This Row],[Дата]],2)</f>
        <v>18</v>
      </c>
      <c r="J105" s="15">
        <f>Слияние1[[#This Row],[Товарооборот, руб]] / SUM(Слияние1[Товарооборот, руб])</f>
        <v>4.3558581824706686E-3</v>
      </c>
    </row>
    <row r="106" spans="1:10" x14ac:dyDescent="0.3">
      <c r="A106" s="13">
        <v>43982</v>
      </c>
      <c r="B106" t="s">
        <v>21</v>
      </c>
      <c r="C106">
        <v>215277</v>
      </c>
      <c r="D106">
        <v>21585316.5</v>
      </c>
      <c r="E106">
        <v>59</v>
      </c>
      <c r="F106">
        <v>13684</v>
      </c>
      <c r="G106">
        <v>12690</v>
      </c>
      <c r="H106" cm="1">
        <f t="array" ref="H106">SUMPRODUCT((I106:I1104=22)*(D106:D1104))</f>
        <v>378654633</v>
      </c>
      <c r="I106">
        <f>WEEKNUM(Слияние1[[#This Row],[Дата]],2)</f>
        <v>22</v>
      </c>
      <c r="J106" s="15">
        <f>Слияние1[[#This Row],[Товарооборот, руб]] / SUM(Слияние1[Товарооборот, руб])</f>
        <v>4.3498093458816545E-3</v>
      </c>
    </row>
    <row r="107" spans="1:10" x14ac:dyDescent="0.3">
      <c r="A107" s="13">
        <v>43958</v>
      </c>
      <c r="B107" t="s">
        <v>22</v>
      </c>
      <c r="C107">
        <v>209415</v>
      </c>
      <c r="D107">
        <v>21463023</v>
      </c>
      <c r="E107">
        <v>54</v>
      </c>
      <c r="F107">
        <v>12743</v>
      </c>
      <c r="G107">
        <v>11858</v>
      </c>
      <c r="H107" cm="1">
        <f t="array" ref="H107">SUMPRODUCT((I107:I1105=22)*(D107:D1105))</f>
        <v>357069316.5</v>
      </c>
      <c r="I107">
        <f>WEEKNUM(Слияние1[[#This Row],[Дата]],2)</f>
        <v>19</v>
      </c>
      <c r="J107" s="15">
        <f>Слияние1[[#This Row],[Товарооборот, руб]] / SUM(Слияние1[Товарооборот, руб])</f>
        <v>4.3251651202924407E-3</v>
      </c>
    </row>
    <row r="108" spans="1:10" x14ac:dyDescent="0.3">
      <c r="A108" s="13">
        <v>43971</v>
      </c>
      <c r="B108" t="s">
        <v>22</v>
      </c>
      <c r="C108">
        <v>214885.5</v>
      </c>
      <c r="D108">
        <v>21411349.5</v>
      </c>
      <c r="E108">
        <v>54</v>
      </c>
      <c r="F108">
        <v>13298</v>
      </c>
      <c r="G108">
        <v>12428</v>
      </c>
      <c r="H108" cm="1">
        <f t="array" ref="H108">SUMPRODUCT((I108:I1106=22)*(D108:D1106))</f>
        <v>357069316.5</v>
      </c>
      <c r="I108">
        <f>WEEKNUM(Слияние1[[#This Row],[Дата]],2)</f>
        <v>21</v>
      </c>
      <c r="J108" s="15">
        <f>Слияние1[[#This Row],[Товарооборот, руб]] / SUM(Слияние1[Товарооборот, руб])</f>
        <v>4.3147520289099532E-3</v>
      </c>
    </row>
    <row r="109" spans="1:10" x14ac:dyDescent="0.3">
      <c r="A109" s="13">
        <v>43949</v>
      </c>
      <c r="B109" t="s">
        <v>21</v>
      </c>
      <c r="C109">
        <v>204637.5</v>
      </c>
      <c r="D109">
        <v>21114898.5</v>
      </c>
      <c r="E109">
        <v>59</v>
      </c>
      <c r="F109">
        <v>12943</v>
      </c>
      <c r="G109">
        <v>12072</v>
      </c>
      <c r="H109" cm="1">
        <f t="array" ref="H109">SUMPRODUCT((I109:I1107=22)*(D109:D1107))</f>
        <v>357069316.5</v>
      </c>
      <c r="I109">
        <f>WEEKNUM(Слияние1[[#This Row],[Дата]],2)</f>
        <v>18</v>
      </c>
      <c r="J109" s="15">
        <f>Слияние1[[#This Row],[Товарооборот, руб]] / SUM(Слияние1[Товарооборот, руб])</f>
        <v>4.2550120973506465E-3</v>
      </c>
    </row>
    <row r="110" spans="1:10" x14ac:dyDescent="0.3">
      <c r="A110" s="13">
        <v>43972</v>
      </c>
      <c r="B110" t="s">
        <v>22</v>
      </c>
      <c r="C110">
        <v>213640.5</v>
      </c>
      <c r="D110">
        <v>21042673.5</v>
      </c>
      <c r="E110">
        <v>54</v>
      </c>
      <c r="F110">
        <v>13240</v>
      </c>
      <c r="G110">
        <v>12360</v>
      </c>
      <c r="H110" cm="1">
        <f t="array" ref="H110">SUMPRODUCT((I110:I1108=22)*(D110:D1108))</f>
        <v>357069316.5</v>
      </c>
      <c r="I110">
        <f>WEEKNUM(Слияние1[[#This Row],[Дата]],2)</f>
        <v>21</v>
      </c>
      <c r="J110" s="15">
        <f>Слияние1[[#This Row],[Товарооборот, руб]] / SUM(Слияние1[Товарооборот, руб])</f>
        <v>4.240457528275586E-3</v>
      </c>
    </row>
    <row r="111" spans="1:10" x14ac:dyDescent="0.3">
      <c r="A111" s="13">
        <v>43978</v>
      </c>
      <c r="B111" t="s">
        <v>22</v>
      </c>
      <c r="C111">
        <v>203532</v>
      </c>
      <c r="D111">
        <v>20953324.5</v>
      </c>
      <c r="E111">
        <v>54</v>
      </c>
      <c r="F111">
        <v>13091</v>
      </c>
      <c r="G111">
        <v>12216</v>
      </c>
      <c r="H111" cm="1">
        <f t="array" ref="H111">SUMPRODUCT((I111:I1109=22)*(D111:D1109))</f>
        <v>357069316.5</v>
      </c>
      <c r="I111">
        <f>WEEKNUM(Слияние1[[#This Row],[Дата]],2)</f>
        <v>22</v>
      </c>
      <c r="J111" s="15">
        <f>Слияние1[[#This Row],[Товарооборот, руб]] / SUM(Слияние1[Товарооборот, руб])</f>
        <v>4.2224521812034141E-3</v>
      </c>
    </row>
    <row r="112" spans="1:10" x14ac:dyDescent="0.3">
      <c r="A112" s="13">
        <v>43956</v>
      </c>
      <c r="B112" t="s">
        <v>22</v>
      </c>
      <c r="C112">
        <v>203832</v>
      </c>
      <c r="D112">
        <v>20880142.5</v>
      </c>
      <c r="E112">
        <v>54</v>
      </c>
      <c r="F112">
        <v>12775</v>
      </c>
      <c r="G112">
        <v>11887</v>
      </c>
      <c r="H112" cm="1">
        <f t="array" ref="H112">SUMPRODUCT((I112:I1110=22)*(D112:D1110))</f>
        <v>336115992</v>
      </c>
      <c r="I112">
        <f>WEEKNUM(Слияние1[[#This Row],[Дата]],2)</f>
        <v>19</v>
      </c>
      <c r="J112" s="15">
        <f>Слияние1[[#This Row],[Товарооборот, руб]] / SUM(Слияние1[Товарооборот, руб])</f>
        <v>4.2077047603096638E-3</v>
      </c>
    </row>
    <row r="113" spans="1:10" x14ac:dyDescent="0.3">
      <c r="A113" s="13">
        <v>43950</v>
      </c>
      <c r="B113" t="s">
        <v>22</v>
      </c>
      <c r="C113">
        <v>203209.5</v>
      </c>
      <c r="D113">
        <v>20871391.5</v>
      </c>
      <c r="E113">
        <v>54</v>
      </c>
      <c r="F113">
        <v>12747</v>
      </c>
      <c r="G113">
        <v>11884</v>
      </c>
      <c r="H113" cm="1">
        <f t="array" ref="H113">SUMPRODUCT((I113:I1111=22)*(D113:D1111))</f>
        <v>336115992</v>
      </c>
      <c r="I113">
        <f>WEEKNUM(Слияние1[[#This Row],[Дата]],2)</f>
        <v>18</v>
      </c>
      <c r="J113" s="15">
        <f>Слияние1[[#This Row],[Товарооборот, руб]] / SUM(Слияние1[Товарооборот, руб])</f>
        <v>4.2059412845882951E-3</v>
      </c>
    </row>
    <row r="114" spans="1:10" x14ac:dyDescent="0.3">
      <c r="A114" s="13">
        <v>43973</v>
      </c>
      <c r="B114" t="s">
        <v>22</v>
      </c>
      <c r="C114">
        <v>214428</v>
      </c>
      <c r="D114">
        <v>20812585.5</v>
      </c>
      <c r="E114">
        <v>54</v>
      </c>
      <c r="F114">
        <v>13014</v>
      </c>
      <c r="G114">
        <v>12095</v>
      </c>
      <c r="H114" cm="1">
        <f t="array" ref="H114">SUMPRODUCT((I114:I1112=22)*(D114:D1112))</f>
        <v>336115992</v>
      </c>
      <c r="I114">
        <f>WEEKNUM(Слияние1[[#This Row],[Дата]],2)</f>
        <v>21</v>
      </c>
      <c r="J114" s="15">
        <f>Слияние1[[#This Row],[Товарооборот, руб]] / SUM(Слияние1[Товарооборот, руб])</f>
        <v>4.1940908728329744E-3</v>
      </c>
    </row>
    <row r="115" spans="1:10" x14ac:dyDescent="0.3">
      <c r="A115" s="13">
        <v>43982</v>
      </c>
      <c r="B115" t="s">
        <v>22</v>
      </c>
      <c r="C115">
        <v>206758.5</v>
      </c>
      <c r="D115">
        <v>20717248.5</v>
      </c>
      <c r="E115">
        <v>54</v>
      </c>
      <c r="F115">
        <v>13106</v>
      </c>
      <c r="G115">
        <v>12164</v>
      </c>
      <c r="H115" cm="1">
        <f t="array" ref="H115">SUMPRODUCT((I115:I1113=22)*(D115:D1113))</f>
        <v>336115992</v>
      </c>
      <c r="I115">
        <f>WEEKNUM(Слияние1[[#This Row],[Дата]],2)</f>
        <v>22</v>
      </c>
      <c r="J115" s="15">
        <f>Слияние1[[#This Row],[Товарооборот, руб]] / SUM(Слияние1[Товарооборот, руб])</f>
        <v>4.1748788416538941E-3</v>
      </c>
    </row>
    <row r="116" spans="1:10" x14ac:dyDescent="0.3">
      <c r="A116" s="13">
        <v>43970</v>
      </c>
      <c r="B116" t="s">
        <v>22</v>
      </c>
      <c r="C116">
        <v>211453.5</v>
      </c>
      <c r="D116">
        <v>20590072.5</v>
      </c>
      <c r="E116">
        <v>54</v>
      </c>
      <c r="F116">
        <v>13070</v>
      </c>
      <c r="G116">
        <v>12244</v>
      </c>
      <c r="H116" cm="1">
        <f t="array" ref="H116">SUMPRODUCT((I116:I1114=22)*(D116:D1114))</f>
        <v>315398743.5</v>
      </c>
      <c r="I116">
        <f>WEEKNUM(Слияние1[[#This Row],[Дата]],2)</f>
        <v>21</v>
      </c>
      <c r="J116" s="15">
        <f>Слияние1[[#This Row],[Товарооборот, руб]] / SUM(Слияние1[Товарооборот, руб])</f>
        <v>4.1492507090586713E-3</v>
      </c>
    </row>
    <row r="117" spans="1:10" x14ac:dyDescent="0.3">
      <c r="A117" s="13">
        <v>43976</v>
      </c>
      <c r="B117" t="s">
        <v>21</v>
      </c>
      <c r="C117">
        <v>198751.5</v>
      </c>
      <c r="D117">
        <v>20582743.5</v>
      </c>
      <c r="E117">
        <v>59</v>
      </c>
      <c r="F117">
        <v>12983</v>
      </c>
      <c r="G117">
        <v>12056</v>
      </c>
      <c r="H117" cm="1">
        <f t="array" ref="H117">SUMPRODUCT((I117:I1115=22)*(D117:D1115))</f>
        <v>315398743.5</v>
      </c>
      <c r="I117">
        <f>WEEKNUM(Слияние1[[#This Row],[Дата]],2)</f>
        <v>22</v>
      </c>
      <c r="J117" s="15">
        <f>Слияние1[[#This Row],[Товарооборот, руб]] / SUM(Слияние1[Товарооборот, руб])</f>
        <v>4.147773790585136E-3</v>
      </c>
    </row>
    <row r="118" spans="1:10" x14ac:dyDescent="0.3">
      <c r="A118" s="13">
        <v>43979</v>
      </c>
      <c r="B118" t="s">
        <v>21</v>
      </c>
      <c r="C118">
        <v>199753.5</v>
      </c>
      <c r="D118">
        <v>20535733.5</v>
      </c>
      <c r="E118">
        <v>60</v>
      </c>
      <c r="F118">
        <v>12854</v>
      </c>
      <c r="G118">
        <v>11954</v>
      </c>
      <c r="H118" cm="1">
        <f t="array" ref="H118">SUMPRODUCT((I118:I1116=22)*(D118:D1116))</f>
        <v>294816000</v>
      </c>
      <c r="I118">
        <f>WEEKNUM(Слияние1[[#This Row],[Дата]],2)</f>
        <v>22</v>
      </c>
      <c r="J118" s="15">
        <f>Слияние1[[#This Row],[Товарооборот, руб]] / SUM(Слияние1[Товарооборот, руб])</f>
        <v>4.1383004739742862E-3</v>
      </c>
    </row>
    <row r="119" spans="1:10" x14ac:dyDescent="0.3">
      <c r="A119" s="13">
        <v>43969</v>
      </c>
      <c r="B119" t="s">
        <v>21</v>
      </c>
      <c r="C119">
        <v>201999</v>
      </c>
      <c r="D119">
        <v>20422435.5</v>
      </c>
      <c r="E119">
        <v>60</v>
      </c>
      <c r="F119">
        <v>12460</v>
      </c>
      <c r="G119">
        <v>11665</v>
      </c>
      <c r="H119" cm="1">
        <f t="array" ref="H119">SUMPRODUCT((I119:I1117=22)*(D119:D1117))</f>
        <v>274280266.5</v>
      </c>
      <c r="I119">
        <f>WEEKNUM(Слияние1[[#This Row],[Дата]],2)</f>
        <v>21</v>
      </c>
      <c r="J119" s="15">
        <f>Слияние1[[#This Row],[Товарооборот, руб]] / SUM(Слияние1[Товарооборот, руб])</f>
        <v>4.1154689950256363E-3</v>
      </c>
    </row>
    <row r="120" spans="1:10" x14ac:dyDescent="0.3">
      <c r="A120" s="13">
        <v>43949</v>
      </c>
      <c r="B120" t="s">
        <v>22</v>
      </c>
      <c r="C120">
        <v>195705</v>
      </c>
      <c r="D120">
        <v>20003263.5</v>
      </c>
      <c r="E120">
        <v>54</v>
      </c>
      <c r="F120">
        <v>12306</v>
      </c>
      <c r="G120">
        <v>11532</v>
      </c>
      <c r="H120" cm="1">
        <f t="array" ref="H120">SUMPRODUCT((I120:I1118=22)*(D120:D1118))</f>
        <v>274280266.5</v>
      </c>
      <c r="I120">
        <f>WEEKNUM(Слияние1[[#This Row],[Дата]],2)</f>
        <v>18</v>
      </c>
      <c r="J120" s="15">
        <f>Слияние1[[#This Row],[Товарооборот, руб]] / SUM(Слияние1[Товарооборот, руб])</f>
        <v>4.0309986893374197E-3</v>
      </c>
    </row>
    <row r="121" spans="1:10" x14ac:dyDescent="0.3">
      <c r="A121" s="13">
        <v>43975</v>
      </c>
      <c r="B121" t="s">
        <v>21</v>
      </c>
      <c r="C121">
        <v>200029.5</v>
      </c>
      <c r="D121">
        <v>19959801</v>
      </c>
      <c r="E121">
        <v>60</v>
      </c>
      <c r="F121">
        <v>12822</v>
      </c>
      <c r="G121">
        <v>11916</v>
      </c>
      <c r="H121" cm="1">
        <f t="array" ref="H121">SUMPRODUCT((I121:I1119=22)*(D121:D1119))</f>
        <v>274280266.5</v>
      </c>
      <c r="I121">
        <f>WEEKNUM(Слияние1[[#This Row],[Дата]],2)</f>
        <v>21</v>
      </c>
      <c r="J121" s="15">
        <f>Слияние1[[#This Row],[Товарооборот, руб]] / SUM(Слияние1[Товарооборот, руб])</f>
        <v>4.0222402544682631E-3</v>
      </c>
    </row>
    <row r="122" spans="1:10" x14ac:dyDescent="0.3">
      <c r="A122" s="13">
        <v>43965</v>
      </c>
      <c r="B122" t="s">
        <v>21</v>
      </c>
      <c r="C122">
        <v>197946</v>
      </c>
      <c r="D122">
        <v>19942435.5</v>
      </c>
      <c r="E122">
        <v>60</v>
      </c>
      <c r="F122">
        <v>11935</v>
      </c>
      <c r="G122">
        <v>11178</v>
      </c>
      <c r="H122" cm="1">
        <f t="array" ref="H122">SUMPRODUCT((I122:I1120=22)*(D122:D1120))</f>
        <v>274280266.5</v>
      </c>
      <c r="I122">
        <f>WEEKNUM(Слияние1[[#This Row],[Дата]],2)</f>
        <v>20</v>
      </c>
      <c r="J122" s="15">
        <f>Слияние1[[#This Row],[Товарооборот, руб]] / SUM(Слияние1[Товарооборот, руб])</f>
        <v>4.0187408101031129E-3</v>
      </c>
    </row>
    <row r="123" spans="1:10" x14ac:dyDescent="0.3">
      <c r="A123" s="13">
        <v>43969</v>
      </c>
      <c r="B123" t="s">
        <v>22</v>
      </c>
      <c r="C123">
        <v>196560</v>
      </c>
      <c r="D123">
        <v>19855122</v>
      </c>
      <c r="E123">
        <v>54</v>
      </c>
      <c r="F123">
        <v>12012</v>
      </c>
      <c r="G123">
        <v>11308</v>
      </c>
      <c r="H123" cm="1">
        <f t="array" ref="H123">SUMPRODUCT((I123:I1121=22)*(D123:D1121))</f>
        <v>274280266.5</v>
      </c>
      <c r="I123">
        <f>WEEKNUM(Слияние1[[#This Row],[Дата]],2)</f>
        <v>21</v>
      </c>
      <c r="J123" s="15">
        <f>Слияние1[[#This Row],[Товарооборот, руб]] / SUM(Слияние1[Товарооборот, руб])</f>
        <v>4.0011456509901275E-3</v>
      </c>
    </row>
    <row r="124" spans="1:10" x14ac:dyDescent="0.3">
      <c r="A124" s="13">
        <v>43976</v>
      </c>
      <c r="B124" t="s">
        <v>22</v>
      </c>
      <c r="C124">
        <v>192948</v>
      </c>
      <c r="D124">
        <v>19806927</v>
      </c>
      <c r="E124">
        <v>54</v>
      </c>
      <c r="F124">
        <v>12336</v>
      </c>
      <c r="G124">
        <v>11519</v>
      </c>
      <c r="H124" cm="1">
        <f t="array" ref="H124">SUMPRODUCT((I124:I1122=22)*(D124:D1122))</f>
        <v>274280266.5</v>
      </c>
      <c r="I124">
        <f>WEEKNUM(Слияние1[[#This Row],[Дата]],2)</f>
        <v>22</v>
      </c>
      <c r="J124" s="15">
        <f>Слияние1[[#This Row],[Товарооборот, руб]] / SUM(Слияние1[Товарооборот, руб])</f>
        <v>3.9914335366727505E-3</v>
      </c>
    </row>
    <row r="125" spans="1:10" x14ac:dyDescent="0.3">
      <c r="A125" s="13">
        <v>43953</v>
      </c>
      <c r="B125" t="s">
        <v>21</v>
      </c>
      <c r="C125">
        <v>185979</v>
      </c>
      <c r="D125">
        <v>19625364</v>
      </c>
      <c r="E125">
        <v>59</v>
      </c>
      <c r="F125">
        <v>12429</v>
      </c>
      <c r="G125">
        <v>11477</v>
      </c>
      <c r="H125" cm="1">
        <f t="array" ref="H125">SUMPRODUCT((I125:I1123=22)*(D125:D1123))</f>
        <v>254473339.5</v>
      </c>
      <c r="I125">
        <f>WEEKNUM(Слияние1[[#This Row],[Дата]],2)</f>
        <v>18</v>
      </c>
      <c r="J125" s="15">
        <f>Слияние1[[#This Row],[Товарооборот, руб]] / SUM(Слияние1[Товарооборот, руб])</f>
        <v>3.9548454961746502E-3</v>
      </c>
    </row>
    <row r="126" spans="1:10" x14ac:dyDescent="0.3">
      <c r="A126" s="13">
        <v>43979</v>
      </c>
      <c r="B126" t="s">
        <v>22</v>
      </c>
      <c r="C126">
        <v>191641.5</v>
      </c>
      <c r="D126">
        <v>19549036.5</v>
      </c>
      <c r="E126">
        <v>54</v>
      </c>
      <c r="F126">
        <v>12409</v>
      </c>
      <c r="G126">
        <v>11582</v>
      </c>
      <c r="H126" cm="1">
        <f t="array" ref="H126">SUMPRODUCT((I126:I1124=22)*(D126:D1124))</f>
        <v>254473339.5</v>
      </c>
      <c r="I126">
        <f>WEEKNUM(Слияние1[[#This Row],[Дата]],2)</f>
        <v>22</v>
      </c>
      <c r="J126" s="15">
        <f>Слияние1[[#This Row],[Товарооборот, руб]] / SUM(Слияние1[Товарооборот, руб])</f>
        <v>3.9394642033940795E-3</v>
      </c>
    </row>
    <row r="127" spans="1:10" x14ac:dyDescent="0.3">
      <c r="A127" s="13">
        <v>43968</v>
      </c>
      <c r="B127" t="s">
        <v>21</v>
      </c>
      <c r="C127">
        <v>193363.5</v>
      </c>
      <c r="D127">
        <v>19546386</v>
      </c>
      <c r="E127">
        <v>60</v>
      </c>
      <c r="F127">
        <v>11698</v>
      </c>
      <c r="G127">
        <v>10989</v>
      </c>
      <c r="H127" cm="1">
        <f t="array" ref="H127">SUMPRODUCT((I127:I1125=22)*(D127:D1125))</f>
        <v>234924303</v>
      </c>
      <c r="I127">
        <f>WEEKNUM(Слияние1[[#This Row],[Дата]],2)</f>
        <v>20</v>
      </c>
      <c r="J127" s="15">
        <f>Слияние1[[#This Row],[Товарооборот, руб]] / SUM(Слияние1[Товарооборот, руб])</f>
        <v>3.938930082447961E-3</v>
      </c>
    </row>
    <row r="128" spans="1:10" x14ac:dyDescent="0.3">
      <c r="A128" s="13">
        <v>43983</v>
      </c>
      <c r="B128" t="s">
        <v>21</v>
      </c>
      <c r="C128">
        <v>188776.5</v>
      </c>
      <c r="D128">
        <v>19465372.5</v>
      </c>
      <c r="E128">
        <v>59</v>
      </c>
      <c r="F128">
        <v>12299</v>
      </c>
      <c r="G128">
        <v>11448</v>
      </c>
      <c r="H128" cm="1">
        <f t="array" ref="H128">SUMPRODUCT((I128:I1126=22)*(D128:D1126))</f>
        <v>234924303</v>
      </c>
      <c r="I128">
        <f>WEEKNUM(Слияние1[[#This Row],[Дата]],2)</f>
        <v>23</v>
      </c>
      <c r="J128" s="15">
        <f>Слияние1[[#This Row],[Товарооборот, руб]] / SUM(Слияние1[Товарооборот, руб])</f>
        <v>3.9226044807620843E-3</v>
      </c>
    </row>
    <row r="129" spans="1:10" x14ac:dyDescent="0.3">
      <c r="A129" s="13">
        <v>43964</v>
      </c>
      <c r="B129" t="s">
        <v>21</v>
      </c>
      <c r="C129">
        <v>193722</v>
      </c>
      <c r="D129">
        <v>19437273</v>
      </c>
      <c r="E129">
        <v>60</v>
      </c>
      <c r="F129">
        <v>12007</v>
      </c>
      <c r="G129">
        <v>11245</v>
      </c>
      <c r="H129" cm="1">
        <f t="array" ref="H129">SUMPRODUCT((I129:I1127=22)*(D129:D1127))</f>
        <v>234924303</v>
      </c>
      <c r="I129">
        <f>WEEKNUM(Слияние1[[#This Row],[Дата]],2)</f>
        <v>20</v>
      </c>
      <c r="J129" s="15">
        <f>Слияние1[[#This Row],[Товарооборот, руб]] / SUM(Слияние1[Товарооборот, руб])</f>
        <v>3.9169419523616038E-3</v>
      </c>
    </row>
    <row r="130" spans="1:10" x14ac:dyDescent="0.3">
      <c r="A130" s="13">
        <v>43960</v>
      </c>
      <c r="B130" t="s">
        <v>21</v>
      </c>
      <c r="C130">
        <v>188319</v>
      </c>
      <c r="D130">
        <v>19218631.5</v>
      </c>
      <c r="E130">
        <v>59</v>
      </c>
      <c r="F130">
        <v>12016</v>
      </c>
      <c r="G130">
        <v>11137</v>
      </c>
      <c r="H130" cm="1">
        <f t="array" ref="H130">SUMPRODUCT((I130:I1128=22)*(D130:D1128))</f>
        <v>234924303</v>
      </c>
      <c r="I130">
        <f>WEEKNUM(Слияние1[[#This Row],[Дата]],2)</f>
        <v>19</v>
      </c>
      <c r="J130" s="15">
        <f>Слияние1[[#This Row],[Товарооборот, руб]] / SUM(Слияние1[Товарооборот, руб])</f>
        <v>3.8728819618538165E-3</v>
      </c>
    </row>
    <row r="131" spans="1:10" x14ac:dyDescent="0.3">
      <c r="A131" s="13">
        <v>43963</v>
      </c>
      <c r="B131" t="s">
        <v>21</v>
      </c>
      <c r="C131">
        <v>192886.5</v>
      </c>
      <c r="D131">
        <v>19205179.5</v>
      </c>
      <c r="E131">
        <v>60</v>
      </c>
      <c r="F131">
        <v>12000</v>
      </c>
      <c r="G131">
        <v>11194</v>
      </c>
      <c r="H131" cm="1">
        <f t="array" ref="H131">SUMPRODUCT((I131:I1129=22)*(D131:D1129))</f>
        <v>234924303</v>
      </c>
      <c r="I131">
        <f>WEEKNUM(Слияние1[[#This Row],[Дата]],2)</f>
        <v>20</v>
      </c>
      <c r="J131" s="15">
        <f>Слияние1[[#This Row],[Товарооборот, руб]] / SUM(Слияние1[Товарооборот, руб])</f>
        <v>3.8701711544713627E-3</v>
      </c>
    </row>
    <row r="132" spans="1:10" x14ac:dyDescent="0.3">
      <c r="A132" s="13">
        <v>43975</v>
      </c>
      <c r="B132" t="s">
        <v>22</v>
      </c>
      <c r="C132">
        <v>193719</v>
      </c>
      <c r="D132">
        <v>19071117</v>
      </c>
      <c r="E132">
        <v>54</v>
      </c>
      <c r="F132">
        <v>12211</v>
      </c>
      <c r="G132">
        <v>11427</v>
      </c>
      <c r="H132" cm="1">
        <f t="array" ref="H132">SUMPRODUCT((I132:I1130=22)*(D132:D1130))</f>
        <v>234924303</v>
      </c>
      <c r="I132">
        <f>WEEKNUM(Слияние1[[#This Row],[Дата]],2)</f>
        <v>21</v>
      </c>
      <c r="J132" s="15">
        <f>Слияние1[[#This Row],[Товарооборот, руб]] / SUM(Слияние1[Товарооборот, руб])</f>
        <v>3.8431552746980798E-3</v>
      </c>
    </row>
    <row r="133" spans="1:10" x14ac:dyDescent="0.3">
      <c r="A133" s="13">
        <v>43983</v>
      </c>
      <c r="B133" t="s">
        <v>22</v>
      </c>
      <c r="C133">
        <v>183228</v>
      </c>
      <c r="D133">
        <v>18914194.5</v>
      </c>
      <c r="E133">
        <v>54</v>
      </c>
      <c r="F133">
        <v>11864</v>
      </c>
      <c r="G133">
        <v>11071</v>
      </c>
      <c r="H133" cm="1">
        <f t="array" ref="H133">SUMPRODUCT((I133:I1131=22)*(D133:D1131))</f>
        <v>234924303</v>
      </c>
      <c r="I133">
        <f>WEEKNUM(Слияние1[[#This Row],[Дата]],2)</f>
        <v>23</v>
      </c>
      <c r="J133" s="15">
        <f>Слияние1[[#This Row],[Товарооборот, руб]] / SUM(Слияние1[Товарооборот, руб])</f>
        <v>3.8115327151178619E-3</v>
      </c>
    </row>
    <row r="134" spans="1:10" x14ac:dyDescent="0.3">
      <c r="A134" s="13">
        <v>43964</v>
      </c>
      <c r="B134" t="s">
        <v>22</v>
      </c>
      <c r="C134">
        <v>188662.5</v>
      </c>
      <c r="D134">
        <v>18784000.5</v>
      </c>
      <c r="E134">
        <v>54</v>
      </c>
      <c r="F134">
        <v>11522</v>
      </c>
      <c r="G134">
        <v>10803</v>
      </c>
      <c r="H134" cm="1">
        <f t="array" ref="H134">SUMPRODUCT((I134:I1132=22)*(D134:D1132))</f>
        <v>234924303</v>
      </c>
      <c r="I134">
        <f>WEEKNUM(Слияние1[[#This Row],[Дата]],2)</f>
        <v>20</v>
      </c>
      <c r="J134" s="15">
        <f>Слияние1[[#This Row],[Товарооборот, руб]] / SUM(Слияние1[Товарооборот, руб])</f>
        <v>3.7852964040599388E-3</v>
      </c>
    </row>
    <row r="135" spans="1:10" x14ac:dyDescent="0.3">
      <c r="A135" s="13">
        <v>43963</v>
      </c>
      <c r="B135" t="s">
        <v>22</v>
      </c>
      <c r="C135">
        <v>189679.5</v>
      </c>
      <c r="D135">
        <v>18718036.5</v>
      </c>
      <c r="E135">
        <v>54</v>
      </c>
      <c r="F135">
        <v>11614</v>
      </c>
      <c r="G135">
        <v>10862</v>
      </c>
      <c r="H135" cm="1">
        <f t="array" ref="H135">SUMPRODUCT((I135:I1133=22)*(D135:D1133))</f>
        <v>234924303</v>
      </c>
      <c r="I135">
        <f>WEEKNUM(Слияние1[[#This Row],[Дата]],2)</f>
        <v>20</v>
      </c>
      <c r="J135" s="15">
        <f>Слияние1[[#This Row],[Товарооборот, руб]] / SUM(Слияние1[Товарооборот, руб])</f>
        <v>3.7720035332469612E-3</v>
      </c>
    </row>
    <row r="136" spans="1:10" x14ac:dyDescent="0.3">
      <c r="A136" s="13">
        <v>43965</v>
      </c>
      <c r="B136" t="s">
        <v>22</v>
      </c>
      <c r="C136">
        <v>186496.5</v>
      </c>
      <c r="D136">
        <v>18640998</v>
      </c>
      <c r="E136">
        <v>54</v>
      </c>
      <c r="F136">
        <v>11194</v>
      </c>
      <c r="G136">
        <v>10554</v>
      </c>
      <c r="H136" cm="1">
        <f t="array" ref="H136">SUMPRODUCT((I136:I1134=22)*(D136:D1134))</f>
        <v>234924303</v>
      </c>
      <c r="I136">
        <f>WEEKNUM(Слияние1[[#This Row],[Дата]],2)</f>
        <v>20</v>
      </c>
      <c r="J136" s="15">
        <f>Слияние1[[#This Row],[Товарооборот, руб]] / SUM(Слияние1[Товарооборот, руб])</f>
        <v>3.7564789618424739E-3</v>
      </c>
    </row>
    <row r="137" spans="1:10" x14ac:dyDescent="0.3">
      <c r="A137" s="13">
        <v>43953</v>
      </c>
      <c r="B137" t="s">
        <v>22</v>
      </c>
      <c r="C137">
        <v>176397</v>
      </c>
      <c r="D137">
        <v>18625921.5</v>
      </c>
      <c r="E137">
        <v>54</v>
      </c>
      <c r="F137">
        <v>11622</v>
      </c>
      <c r="G137">
        <v>10754</v>
      </c>
      <c r="H137" cm="1">
        <f t="array" ref="H137">SUMPRODUCT((I137:I1135=22)*(D137:D1135))</f>
        <v>234924303</v>
      </c>
      <c r="I137">
        <f>WEEKNUM(Слияние1[[#This Row],[Дата]],2)</f>
        <v>18</v>
      </c>
      <c r="J137" s="15">
        <f>Слияние1[[#This Row],[Товарооборот, руб]] / SUM(Слияние1[Товарооборот, руб])</f>
        <v>3.7534407900091733E-3</v>
      </c>
    </row>
    <row r="138" spans="1:10" x14ac:dyDescent="0.3">
      <c r="A138" s="13">
        <v>43968</v>
      </c>
      <c r="B138" t="s">
        <v>22</v>
      </c>
      <c r="C138">
        <v>184801.5</v>
      </c>
      <c r="D138">
        <v>18449091</v>
      </c>
      <c r="E138">
        <v>54</v>
      </c>
      <c r="F138">
        <v>11128</v>
      </c>
      <c r="G138">
        <v>10467</v>
      </c>
      <c r="H138" cm="1">
        <f t="array" ref="H138">SUMPRODUCT((I138:I1136=22)*(D138:D1136))</f>
        <v>234924303</v>
      </c>
      <c r="I138">
        <f>WEEKNUM(Слияние1[[#This Row],[Дата]],2)</f>
        <v>20</v>
      </c>
      <c r="J138" s="15">
        <f>Слияние1[[#This Row],[Товарооборот, руб]] / SUM(Слияние1[Товарооборот, руб])</f>
        <v>3.7178064289592936E-3</v>
      </c>
    </row>
    <row r="139" spans="1:10" x14ac:dyDescent="0.3">
      <c r="A139" s="13">
        <v>43960</v>
      </c>
      <c r="B139" t="s">
        <v>22</v>
      </c>
      <c r="C139">
        <v>177976.5</v>
      </c>
      <c r="D139">
        <v>18085798.5</v>
      </c>
      <c r="E139">
        <v>54</v>
      </c>
      <c r="F139">
        <v>11288</v>
      </c>
      <c r="G139">
        <v>10492</v>
      </c>
      <c r="H139" cm="1">
        <f t="array" ref="H139">SUMPRODUCT((I139:I1137=22)*(D139:D1137))</f>
        <v>234924303</v>
      </c>
      <c r="I139">
        <f>WEEKNUM(Слияние1[[#This Row],[Дата]],2)</f>
        <v>19</v>
      </c>
      <c r="J139" s="15">
        <f>Слияние1[[#This Row],[Товарооборот, руб]] / SUM(Слияние1[Товарооборот, руб])</f>
        <v>3.6445967953739481E-3</v>
      </c>
    </row>
    <row r="140" spans="1:10" x14ac:dyDescent="0.3">
      <c r="A140" s="13">
        <v>43962</v>
      </c>
      <c r="B140" t="s">
        <v>21</v>
      </c>
      <c r="C140">
        <v>175293</v>
      </c>
      <c r="D140">
        <v>17919144</v>
      </c>
      <c r="E140">
        <v>60</v>
      </c>
      <c r="F140">
        <v>11100</v>
      </c>
      <c r="G140">
        <v>10407</v>
      </c>
      <c r="H140" cm="1">
        <f t="array" ref="H140">SUMPRODUCT((I140:I1138=22)*(D140:D1138))</f>
        <v>234924303</v>
      </c>
      <c r="I140">
        <f>WEEKNUM(Слияние1[[#This Row],[Дата]],2)</f>
        <v>20</v>
      </c>
      <c r="J140" s="15">
        <f>Слияние1[[#This Row],[Товарооборот, руб]] / SUM(Слияние1[Товарооборот, руб])</f>
        <v>3.611013071844426E-3</v>
      </c>
    </row>
    <row r="141" spans="1:10" x14ac:dyDescent="0.3">
      <c r="A141" s="13">
        <v>43962</v>
      </c>
      <c r="B141" t="s">
        <v>22</v>
      </c>
      <c r="C141">
        <v>166948.5</v>
      </c>
      <c r="D141">
        <v>16971231</v>
      </c>
      <c r="E141">
        <v>54</v>
      </c>
      <c r="F141">
        <v>10570</v>
      </c>
      <c r="G141">
        <v>9926</v>
      </c>
      <c r="H141" cm="1">
        <f t="array" ref="H141">SUMPRODUCT((I141:I1139=22)*(D141:D1139))</f>
        <v>234924303</v>
      </c>
      <c r="I141">
        <f>WEEKNUM(Слияние1[[#This Row],[Дата]],2)</f>
        <v>20</v>
      </c>
      <c r="J141" s="15">
        <f>Слияние1[[#This Row],[Товарооборот, руб]] / SUM(Слияние1[Товарооборот, руб])</f>
        <v>3.4199924386059594E-3</v>
      </c>
    </row>
    <row r="142" spans="1:10" x14ac:dyDescent="0.3">
      <c r="A142" s="13">
        <v>43981</v>
      </c>
      <c r="B142" t="s">
        <v>11</v>
      </c>
      <c r="C142">
        <v>108123</v>
      </c>
      <c r="D142">
        <v>9164707.5</v>
      </c>
      <c r="E142">
        <v>31</v>
      </c>
      <c r="F142">
        <v>6735</v>
      </c>
      <c r="G142">
        <v>6264</v>
      </c>
      <c r="H142" cm="1">
        <f t="array" ref="H142">SUMPRODUCT((I142:I1140=22)*(D142:D1140))</f>
        <v>234924303</v>
      </c>
      <c r="I142">
        <f>WEEKNUM(Слияние1[[#This Row],[Дата]],2)</f>
        <v>22</v>
      </c>
      <c r="J142" s="15">
        <f>Слияние1[[#This Row],[Товарооборот, руб]] / SUM(Слияние1[Товарооборот, руб])</f>
        <v>1.8468448371267428E-3</v>
      </c>
    </row>
    <row r="143" spans="1:10" x14ac:dyDescent="0.3">
      <c r="A143" s="13">
        <v>43981</v>
      </c>
      <c r="B143" t="s">
        <v>16</v>
      </c>
      <c r="C143">
        <v>106926</v>
      </c>
      <c r="D143">
        <v>9098386.5</v>
      </c>
      <c r="E143">
        <v>37</v>
      </c>
      <c r="F143">
        <v>6645</v>
      </c>
      <c r="G143">
        <v>6122</v>
      </c>
      <c r="H143" cm="1">
        <f t="array" ref="H143">SUMPRODUCT((I143:I1141=22)*(D143:D1141))</f>
        <v>225759595.5</v>
      </c>
      <c r="I143">
        <f>WEEKNUM(Слияние1[[#This Row],[Дата]],2)</f>
        <v>22</v>
      </c>
      <c r="J143" s="15">
        <f>Слияние1[[#This Row],[Товарооборот, руб]] / SUM(Слияние1[Товарооборот, руб])</f>
        <v>1.8334800247262288E-3</v>
      </c>
    </row>
    <row r="144" spans="1:10" x14ac:dyDescent="0.3">
      <c r="A144" s="13">
        <v>43952</v>
      </c>
      <c r="B144" t="s">
        <v>11</v>
      </c>
      <c r="C144">
        <v>97534.5</v>
      </c>
      <c r="D144">
        <v>8893024.5</v>
      </c>
      <c r="E144">
        <v>31</v>
      </c>
      <c r="F144">
        <v>6118</v>
      </c>
      <c r="G144">
        <v>5564</v>
      </c>
      <c r="H144" cm="1">
        <f t="array" ref="H144">SUMPRODUCT((I144:I1142=22)*(D144:D1142))</f>
        <v>216661209</v>
      </c>
      <c r="I144">
        <f>WEEKNUM(Слияние1[[#This Row],[Дата]],2)</f>
        <v>18</v>
      </c>
      <c r="J144" s="15">
        <f>Слияние1[[#This Row],[Товарооборот, руб]] / SUM(Слияние1[Товарооборот, руб])</f>
        <v>1.7920960799094386E-3</v>
      </c>
    </row>
    <row r="145" spans="1:10" x14ac:dyDescent="0.3">
      <c r="A145" s="13">
        <v>43974</v>
      </c>
      <c r="B145" t="s">
        <v>11</v>
      </c>
      <c r="C145">
        <v>102889.5</v>
      </c>
      <c r="D145">
        <v>8089143</v>
      </c>
      <c r="E145">
        <v>31</v>
      </c>
      <c r="F145">
        <v>6276</v>
      </c>
      <c r="G145">
        <v>5801</v>
      </c>
      <c r="H145" cm="1">
        <f t="array" ref="H145">SUMPRODUCT((I145:I1143=22)*(D145:D1143))</f>
        <v>216661209</v>
      </c>
      <c r="I145">
        <f>WEEKNUM(Слияние1[[#This Row],[Дата]],2)</f>
        <v>21</v>
      </c>
      <c r="J145" s="15">
        <f>Слияние1[[#This Row],[Товарооборот, руб]] / SUM(Слияние1[Товарооборот, руб])</f>
        <v>1.6301002499348649E-3</v>
      </c>
    </row>
    <row r="146" spans="1:10" x14ac:dyDescent="0.3">
      <c r="A146" s="13">
        <v>43973</v>
      </c>
      <c r="B146" t="s">
        <v>11</v>
      </c>
      <c r="C146">
        <v>97963.5</v>
      </c>
      <c r="D146">
        <v>7728465</v>
      </c>
      <c r="E146">
        <v>31</v>
      </c>
      <c r="F146">
        <v>5965</v>
      </c>
      <c r="G146">
        <v>5533</v>
      </c>
      <c r="H146" cm="1">
        <f t="array" ref="H146">SUMPRODUCT((I146:I1144=22)*(D146:D1144))</f>
        <v>216661209</v>
      </c>
      <c r="I146">
        <f>WEEKNUM(Слияние1[[#This Row],[Дата]],2)</f>
        <v>21</v>
      </c>
      <c r="J146" s="15">
        <f>Слияние1[[#This Row],[Товарооборот, руб]] / SUM(Слияние1[Товарооборот, руб])</f>
        <v>1.5574174826817693E-3</v>
      </c>
    </row>
    <row r="147" spans="1:10" x14ac:dyDescent="0.3">
      <c r="A147" s="13">
        <v>43961</v>
      </c>
      <c r="B147" t="s">
        <v>16</v>
      </c>
      <c r="C147">
        <v>88311</v>
      </c>
      <c r="D147">
        <v>7726069.5</v>
      </c>
      <c r="E147">
        <v>36</v>
      </c>
      <c r="F147">
        <v>5746</v>
      </c>
      <c r="G147">
        <v>5277</v>
      </c>
      <c r="H147" cm="1">
        <f t="array" ref="H147">SUMPRODUCT((I147:I1145=22)*(D147:D1145))</f>
        <v>216661209</v>
      </c>
      <c r="I147">
        <f>WEEKNUM(Слияние1[[#This Row],[Дата]],2)</f>
        <v>19</v>
      </c>
      <c r="J147" s="15">
        <f>Слияние1[[#This Row],[Товарооборот, руб]] / SUM(Слияние1[Товарооборот, руб])</f>
        <v>1.5569347485838905E-3</v>
      </c>
    </row>
    <row r="148" spans="1:10" x14ac:dyDescent="0.3">
      <c r="A148" s="13">
        <v>43967</v>
      </c>
      <c r="B148" t="s">
        <v>11</v>
      </c>
      <c r="C148">
        <v>88063.5</v>
      </c>
      <c r="D148">
        <v>7583758.5</v>
      </c>
      <c r="E148">
        <v>31</v>
      </c>
      <c r="F148">
        <v>5593</v>
      </c>
      <c r="G148">
        <v>5177</v>
      </c>
      <c r="H148" cm="1">
        <f t="array" ref="H148">SUMPRODUCT((I148:I1146=22)*(D148:D1146))</f>
        <v>216661209</v>
      </c>
      <c r="I148">
        <f>WEEKNUM(Слияние1[[#This Row],[Дата]],2)</f>
        <v>20</v>
      </c>
      <c r="J148" s="15">
        <f>Слияние1[[#This Row],[Товарооборот, руб]] / SUM(Слияние1[Товарооборот, руб])</f>
        <v>1.5282566554078295E-3</v>
      </c>
    </row>
    <row r="149" spans="1:10" x14ac:dyDescent="0.3">
      <c r="A149" s="13">
        <v>43982</v>
      </c>
      <c r="B149" t="s">
        <v>11</v>
      </c>
      <c r="C149">
        <v>89149.5</v>
      </c>
      <c r="D149">
        <v>7512646.5</v>
      </c>
      <c r="E149">
        <v>31</v>
      </c>
      <c r="F149">
        <v>5760</v>
      </c>
      <c r="G149">
        <v>5367</v>
      </c>
      <c r="H149" cm="1">
        <f t="array" ref="H149">SUMPRODUCT((I149:I1147=22)*(D149:D1147))</f>
        <v>216661209</v>
      </c>
      <c r="I149">
        <f>WEEKNUM(Слияние1[[#This Row],[Дата]],2)</f>
        <v>22</v>
      </c>
      <c r="J149" s="15">
        <f>Слияние1[[#This Row],[Товарооборот, руб]] / SUM(Слияние1[Товарооборот, руб])</f>
        <v>1.5139263748115577E-3</v>
      </c>
    </row>
    <row r="150" spans="1:10" x14ac:dyDescent="0.3">
      <c r="A150" s="13">
        <v>43961</v>
      </c>
      <c r="B150" t="s">
        <v>11</v>
      </c>
      <c r="C150">
        <v>84132</v>
      </c>
      <c r="D150">
        <v>7483194</v>
      </c>
      <c r="E150">
        <v>31</v>
      </c>
      <c r="F150">
        <v>5495</v>
      </c>
      <c r="G150">
        <v>5093</v>
      </c>
      <c r="H150" cm="1">
        <f t="array" ref="H150">SUMPRODUCT((I150:I1148=22)*(D150:D1148))</f>
        <v>209148562.5</v>
      </c>
      <c r="I150">
        <f>WEEKNUM(Слияние1[[#This Row],[Дата]],2)</f>
        <v>19</v>
      </c>
      <c r="J150" s="15">
        <f>Слияние1[[#This Row],[Товарооборот, руб]] / SUM(Слияние1[Товарооборот, руб])</f>
        <v>1.5079911938398272E-3</v>
      </c>
    </row>
    <row r="151" spans="1:10" x14ac:dyDescent="0.3">
      <c r="A151" s="13">
        <v>43980</v>
      </c>
      <c r="B151" t="s">
        <v>11</v>
      </c>
      <c r="C151">
        <v>87552</v>
      </c>
      <c r="D151">
        <v>7387116</v>
      </c>
      <c r="E151">
        <v>31</v>
      </c>
      <c r="F151">
        <v>5751</v>
      </c>
      <c r="G151">
        <v>5319</v>
      </c>
      <c r="H151" cm="1">
        <f t="array" ref="H151">SUMPRODUCT((I151:I1149=22)*(D151:D1149))</f>
        <v>209148562.5</v>
      </c>
      <c r="I151">
        <f>WEEKNUM(Слияние1[[#This Row],[Дата]],2)</f>
        <v>22</v>
      </c>
      <c r="J151" s="15">
        <f>Слияние1[[#This Row],[Товарооборот, руб]] / SUM(Слияние1[Товарооборот, руб])</f>
        <v>1.4886298385252726E-3</v>
      </c>
    </row>
    <row r="152" spans="1:10" x14ac:dyDescent="0.3">
      <c r="A152" s="13">
        <v>43960</v>
      </c>
      <c r="B152" t="s">
        <v>16</v>
      </c>
      <c r="C152">
        <v>83373</v>
      </c>
      <c r="D152">
        <v>7253427</v>
      </c>
      <c r="E152">
        <v>36</v>
      </c>
      <c r="F152">
        <v>5413</v>
      </c>
      <c r="G152">
        <v>4959</v>
      </c>
      <c r="H152" cm="1">
        <f t="array" ref="H152">SUMPRODUCT((I152:I1150=22)*(D152:D1150))</f>
        <v>201761446.5</v>
      </c>
      <c r="I152">
        <f>WEEKNUM(Слияние1[[#This Row],[Дата]],2)</f>
        <v>19</v>
      </c>
      <c r="J152" s="15">
        <f>Слияние1[[#This Row],[Товарооборот, руб]] / SUM(Слияние1[Товарооборот, руб])</f>
        <v>1.4616892253708825E-3</v>
      </c>
    </row>
    <row r="153" spans="1:10" x14ac:dyDescent="0.3">
      <c r="A153" s="13">
        <v>43971</v>
      </c>
      <c r="B153" t="s">
        <v>11</v>
      </c>
      <c r="C153">
        <v>93313.5</v>
      </c>
      <c r="D153">
        <v>7247575.5</v>
      </c>
      <c r="E153">
        <v>31</v>
      </c>
      <c r="F153">
        <v>5698</v>
      </c>
      <c r="G153">
        <v>5258</v>
      </c>
      <c r="H153" cm="1">
        <f t="array" ref="H153">SUMPRODUCT((I153:I1151=22)*(D153:D1151))</f>
        <v>201761446.5</v>
      </c>
      <c r="I153">
        <f>WEEKNUM(Слияние1[[#This Row],[Дата]],2)</f>
        <v>21</v>
      </c>
      <c r="J153" s="15">
        <f>Слияние1[[#This Row],[Товарооборот, руб]] / SUM(Слияние1[Товарооборот, руб])</f>
        <v>1.4605100483415614E-3</v>
      </c>
    </row>
    <row r="154" spans="1:10" x14ac:dyDescent="0.3">
      <c r="A154" s="13">
        <v>43980</v>
      </c>
      <c r="B154" t="s">
        <v>16</v>
      </c>
      <c r="C154">
        <v>84433.5</v>
      </c>
      <c r="D154">
        <v>7228395</v>
      </c>
      <c r="E154">
        <v>37</v>
      </c>
      <c r="F154">
        <v>5672</v>
      </c>
      <c r="G154">
        <v>5198</v>
      </c>
      <c r="H154" cm="1">
        <f t="array" ref="H154">SUMPRODUCT((I154:I1152=22)*(D154:D1152))</f>
        <v>201761446.5</v>
      </c>
      <c r="I154">
        <f>WEEKNUM(Слияние1[[#This Row],[Дата]],2)</f>
        <v>22</v>
      </c>
      <c r="J154" s="15">
        <f>Слияние1[[#This Row],[Товарооборот, руб]] / SUM(Слияние1[Товарооборот, руб])</f>
        <v>1.456644850527173E-3</v>
      </c>
    </row>
    <row r="155" spans="1:10" x14ac:dyDescent="0.3">
      <c r="A155" s="13">
        <v>43950</v>
      </c>
      <c r="B155" t="s">
        <v>11</v>
      </c>
      <c r="C155">
        <v>79527</v>
      </c>
      <c r="D155">
        <v>7180498.5</v>
      </c>
      <c r="E155">
        <v>31</v>
      </c>
      <c r="F155">
        <v>5378</v>
      </c>
      <c r="G155">
        <v>4985</v>
      </c>
      <c r="H155" cm="1">
        <f t="array" ref="H155">SUMPRODUCT((I155:I1153=22)*(D155:D1153))</f>
        <v>194533051.5</v>
      </c>
      <c r="I155">
        <f>WEEKNUM(Слияние1[[#This Row],[Дата]],2)</f>
        <v>18</v>
      </c>
      <c r="J155" s="15">
        <f>Слияние1[[#This Row],[Товарооборот, руб]] / SUM(Слияние1[Товарооборот, руб])</f>
        <v>1.4469928890497945E-3</v>
      </c>
    </row>
    <row r="156" spans="1:10" x14ac:dyDescent="0.3">
      <c r="A156" s="13">
        <v>43974</v>
      </c>
      <c r="B156" t="s">
        <v>16</v>
      </c>
      <c r="C156">
        <v>89556</v>
      </c>
      <c r="D156">
        <v>7173117</v>
      </c>
      <c r="E156">
        <v>36</v>
      </c>
      <c r="F156">
        <v>5651</v>
      </c>
      <c r="G156">
        <v>5212</v>
      </c>
      <c r="H156" cm="1">
        <f t="array" ref="H156">SUMPRODUCT((I156:I1154=22)*(D156:D1154))</f>
        <v>194533051.5</v>
      </c>
      <c r="I156">
        <f>WEEKNUM(Слияние1[[#This Row],[Дата]],2)</f>
        <v>21</v>
      </c>
      <c r="J156" s="15">
        <f>Слияние1[[#This Row],[Товарооборот, руб]] / SUM(Слияние1[Товарооборот, руб])</f>
        <v>1.4455053909310329E-3</v>
      </c>
    </row>
    <row r="157" spans="1:10" x14ac:dyDescent="0.3">
      <c r="A157" s="13">
        <v>43949</v>
      </c>
      <c r="B157" t="s">
        <v>11</v>
      </c>
      <c r="C157">
        <v>81826.5</v>
      </c>
      <c r="D157">
        <v>7163644.5</v>
      </c>
      <c r="E157">
        <v>31</v>
      </c>
      <c r="F157">
        <v>5465</v>
      </c>
      <c r="G157">
        <v>5096</v>
      </c>
      <c r="H157" cm="1">
        <f t="array" ref="H157">SUMPRODUCT((I157:I1155=22)*(D157:D1155))</f>
        <v>194533051.5</v>
      </c>
      <c r="I157">
        <f>WEEKNUM(Слияние1[[#This Row],[Дата]],2)</f>
        <v>18</v>
      </c>
      <c r="J157" s="15">
        <f>Слияние1[[#This Row],[Товарооборот, руб]] / SUM(Слияние1[Товарооборот, руб])</f>
        <v>1.4435965206567025E-3</v>
      </c>
    </row>
    <row r="158" spans="1:10" x14ac:dyDescent="0.3">
      <c r="A158" s="13">
        <v>43971</v>
      </c>
      <c r="B158" t="s">
        <v>16</v>
      </c>
      <c r="C158">
        <v>99631.5</v>
      </c>
      <c r="D158">
        <v>7121946</v>
      </c>
      <c r="E158">
        <v>36</v>
      </c>
      <c r="F158">
        <v>5914</v>
      </c>
      <c r="G158">
        <v>5384</v>
      </c>
      <c r="H158" cm="1">
        <f t="array" ref="H158">SUMPRODUCT((I158:I1156=22)*(D158:D1156))</f>
        <v>194533051.5</v>
      </c>
      <c r="I158">
        <f>WEEKNUM(Слияние1[[#This Row],[Дата]],2)</f>
        <v>21</v>
      </c>
      <c r="J158" s="15">
        <f>Слияние1[[#This Row],[Товарооборот, руб]] / SUM(Слияние1[Товарооборот, руб])</f>
        <v>1.4351935618671361E-3</v>
      </c>
    </row>
    <row r="159" spans="1:10" x14ac:dyDescent="0.3">
      <c r="A159" s="13">
        <v>43952</v>
      </c>
      <c r="B159" t="s">
        <v>16</v>
      </c>
      <c r="C159">
        <v>82228.5</v>
      </c>
      <c r="D159">
        <v>7032225</v>
      </c>
      <c r="E159">
        <v>36</v>
      </c>
      <c r="F159">
        <v>5457</v>
      </c>
      <c r="G159">
        <v>4916</v>
      </c>
      <c r="H159" cm="1">
        <f t="array" ref="H159">SUMPRODUCT((I159:I1157=22)*(D159:D1157))</f>
        <v>194533051.5</v>
      </c>
      <c r="I159">
        <f>WEEKNUM(Слияние1[[#This Row],[Дата]],2)</f>
        <v>18</v>
      </c>
      <c r="J159" s="15">
        <f>Слияние1[[#This Row],[Товарооборот, руб]] / SUM(Слияние1[Товарооборот, руб])</f>
        <v>1.4171132504516492E-3</v>
      </c>
    </row>
    <row r="160" spans="1:10" x14ac:dyDescent="0.3">
      <c r="A160" s="13">
        <v>43951</v>
      </c>
      <c r="B160" t="s">
        <v>11</v>
      </c>
      <c r="C160">
        <v>77565</v>
      </c>
      <c r="D160">
        <v>7023727.5</v>
      </c>
      <c r="E160">
        <v>31</v>
      </c>
      <c r="F160">
        <v>5120</v>
      </c>
      <c r="G160">
        <v>4737</v>
      </c>
      <c r="H160" cm="1">
        <f t="array" ref="H160">SUMPRODUCT((I160:I1158=22)*(D160:D1158))</f>
        <v>194533051.5</v>
      </c>
      <c r="I160">
        <f>WEEKNUM(Слияние1[[#This Row],[Дата]],2)</f>
        <v>18</v>
      </c>
      <c r="J160" s="15">
        <f>Слияние1[[#This Row],[Товарооборот, руб]] / SUM(Слияние1[Товарооборот, руб])</f>
        <v>1.4154008593029426E-3</v>
      </c>
    </row>
    <row r="161" spans="1:10" x14ac:dyDescent="0.3">
      <c r="A161" s="13">
        <v>43954</v>
      </c>
      <c r="B161" t="s">
        <v>11</v>
      </c>
      <c r="C161">
        <v>77263.5</v>
      </c>
      <c r="D161">
        <v>7013670</v>
      </c>
      <c r="E161">
        <v>31</v>
      </c>
      <c r="F161">
        <v>5155</v>
      </c>
      <c r="G161">
        <v>4762</v>
      </c>
      <c r="H161" cm="1">
        <f t="array" ref="H161">SUMPRODUCT((I161:I1159=22)*(D161:D1159))</f>
        <v>194533051.5</v>
      </c>
      <c r="I161">
        <f>WEEKNUM(Слияние1[[#This Row],[Дата]],2)</f>
        <v>18</v>
      </c>
      <c r="J161" s="15">
        <f>Слияние1[[#This Row],[Товарооборот, руб]] / SUM(Слияние1[Товарооборот, руб])</f>
        <v>1.4133741015532378E-3</v>
      </c>
    </row>
    <row r="162" spans="1:10" x14ac:dyDescent="0.3">
      <c r="A162" s="13">
        <v>43964</v>
      </c>
      <c r="B162" t="s">
        <v>11</v>
      </c>
      <c r="C162">
        <v>78846</v>
      </c>
      <c r="D162">
        <v>6993952.5</v>
      </c>
      <c r="E162">
        <v>31</v>
      </c>
      <c r="F162">
        <v>5251</v>
      </c>
      <c r="G162">
        <v>4853</v>
      </c>
      <c r="H162" cm="1">
        <f t="array" ref="H162">SUMPRODUCT((I162:I1160=22)*(D162:D1160))</f>
        <v>194533051.5</v>
      </c>
      <c r="I162">
        <f>WEEKNUM(Слияние1[[#This Row],[Дата]],2)</f>
        <v>20</v>
      </c>
      <c r="J162" s="15">
        <f>Слияние1[[#This Row],[Товарооборот, руб]] / SUM(Слияние1[Товарооборот, руб])</f>
        <v>1.4094006890819674E-3</v>
      </c>
    </row>
    <row r="163" spans="1:10" x14ac:dyDescent="0.3">
      <c r="A163" s="13">
        <v>43956</v>
      </c>
      <c r="B163" t="s">
        <v>11</v>
      </c>
      <c r="C163">
        <v>76585.5</v>
      </c>
      <c r="D163">
        <v>6921316.5</v>
      </c>
      <c r="E163">
        <v>31</v>
      </c>
      <c r="F163">
        <v>5188</v>
      </c>
      <c r="G163">
        <v>4800</v>
      </c>
      <c r="H163" cm="1">
        <f t="array" ref="H163">SUMPRODUCT((I163:I1161=22)*(D163:D1161))</f>
        <v>194533051.5</v>
      </c>
      <c r="I163">
        <f>WEEKNUM(Слияние1[[#This Row],[Дата]],2)</f>
        <v>19</v>
      </c>
      <c r="J163" s="15">
        <f>Слияние1[[#This Row],[Товарооборот, руб]] / SUM(Слияние1[Товарооборот, руб])</f>
        <v>1.3947632964985666E-3</v>
      </c>
    </row>
    <row r="164" spans="1:10" x14ac:dyDescent="0.3">
      <c r="A164" s="13">
        <v>43966</v>
      </c>
      <c r="B164" t="s">
        <v>11</v>
      </c>
      <c r="C164">
        <v>78961.5</v>
      </c>
      <c r="D164">
        <v>6876454.5</v>
      </c>
      <c r="E164">
        <v>31</v>
      </c>
      <c r="F164">
        <v>5184</v>
      </c>
      <c r="G164">
        <v>4778</v>
      </c>
      <c r="H164" cm="1">
        <f t="array" ref="H164">SUMPRODUCT((I164:I1162=22)*(D164:D1162))</f>
        <v>194533051.5</v>
      </c>
      <c r="I164">
        <f>WEEKNUM(Слияние1[[#This Row],[Дата]],2)</f>
        <v>20</v>
      </c>
      <c r="J164" s="15">
        <f>Слияние1[[#This Row],[Товарооборот, руб]] / SUM(Слияние1[Товарооборот, руб])</f>
        <v>1.3857228385152451E-3</v>
      </c>
    </row>
    <row r="165" spans="1:10" x14ac:dyDescent="0.3">
      <c r="A165" s="13">
        <v>43983</v>
      </c>
      <c r="B165" t="s">
        <v>11</v>
      </c>
      <c r="C165">
        <v>77269.5</v>
      </c>
      <c r="D165">
        <v>6829921.5</v>
      </c>
      <c r="E165">
        <v>31</v>
      </c>
      <c r="F165">
        <v>5468</v>
      </c>
      <c r="G165">
        <v>5081</v>
      </c>
      <c r="H165" cm="1">
        <f t="array" ref="H165">SUMPRODUCT((I165:I1163=22)*(D165:D1163))</f>
        <v>194533051.5</v>
      </c>
      <c r="I165">
        <f>WEEKNUM(Слияние1[[#This Row],[Дата]],2)</f>
        <v>23</v>
      </c>
      <c r="J165" s="15">
        <f>Слияние1[[#This Row],[Товарооборот, руб]] / SUM(Слияние1[Товарооборот, руб])</f>
        <v>1.3763456455381624E-3</v>
      </c>
    </row>
    <row r="166" spans="1:10" x14ac:dyDescent="0.3">
      <c r="A166" s="13">
        <v>43951</v>
      </c>
      <c r="B166" t="s">
        <v>16</v>
      </c>
      <c r="C166">
        <v>78235.5</v>
      </c>
      <c r="D166">
        <v>6819594</v>
      </c>
      <c r="E166">
        <v>36</v>
      </c>
      <c r="F166">
        <v>5143</v>
      </c>
      <c r="G166">
        <v>4715</v>
      </c>
      <c r="H166" cm="1">
        <f t="array" ref="H166">SUMPRODUCT((I166:I1164=22)*(D166:D1164))</f>
        <v>194533051.5</v>
      </c>
      <c r="I166">
        <f>WEEKNUM(Слияние1[[#This Row],[Дата]],2)</f>
        <v>18</v>
      </c>
      <c r="J166" s="15">
        <f>Слияние1[[#This Row],[Товарооборот, руб]] / SUM(Слияние1[Товарооборот, руб])</f>
        <v>1.3742644781844387E-3</v>
      </c>
    </row>
    <row r="167" spans="1:10" x14ac:dyDescent="0.3">
      <c r="A167" s="13">
        <v>43970</v>
      </c>
      <c r="B167" t="s">
        <v>11</v>
      </c>
      <c r="C167">
        <v>84024</v>
      </c>
      <c r="D167">
        <v>6815511</v>
      </c>
      <c r="E167">
        <v>31</v>
      </c>
      <c r="F167">
        <v>5389</v>
      </c>
      <c r="G167">
        <v>5024</v>
      </c>
      <c r="H167" cm="1">
        <f t="array" ref="H167">SUMPRODUCT((I167:I1165=22)*(D167:D1165))</f>
        <v>194533051.5</v>
      </c>
      <c r="I167">
        <f>WEEKNUM(Слияние1[[#This Row],[Дата]],2)</f>
        <v>21</v>
      </c>
      <c r="J167" s="15">
        <f>Слияние1[[#This Row],[Товарооборот, руб]] / SUM(Слияние1[Товарооборот, руб])</f>
        <v>1.3734416840614414E-3</v>
      </c>
    </row>
    <row r="168" spans="1:10" x14ac:dyDescent="0.3">
      <c r="A168" s="13">
        <v>43968</v>
      </c>
      <c r="B168" t="s">
        <v>11</v>
      </c>
      <c r="C168">
        <v>78057</v>
      </c>
      <c r="D168">
        <v>6774946.5</v>
      </c>
      <c r="E168">
        <v>31</v>
      </c>
      <c r="F168">
        <v>5206</v>
      </c>
      <c r="G168">
        <v>4843</v>
      </c>
      <c r="H168" cm="1">
        <f t="array" ref="H168">SUMPRODUCT((I168:I1166=22)*(D168:D1166))</f>
        <v>194533051.5</v>
      </c>
      <c r="I168">
        <f>WEEKNUM(Слияние1[[#This Row],[Дата]],2)</f>
        <v>20</v>
      </c>
      <c r="J168" s="15">
        <f>Слияние1[[#This Row],[Товарооборот, руб]] / SUM(Слияние1[Товарооборот, руб])</f>
        <v>1.3652672456087546E-3</v>
      </c>
    </row>
    <row r="169" spans="1:10" x14ac:dyDescent="0.3">
      <c r="A169" s="13">
        <v>43978</v>
      </c>
      <c r="B169" t="s">
        <v>11</v>
      </c>
      <c r="C169">
        <v>78544.5</v>
      </c>
      <c r="D169">
        <v>6701083.5</v>
      </c>
      <c r="E169">
        <v>31</v>
      </c>
      <c r="F169">
        <v>5330</v>
      </c>
      <c r="G169">
        <v>4977</v>
      </c>
      <c r="H169" cm="1">
        <f t="array" ref="H169">SUMPRODUCT((I169:I1167=22)*(D169:D1167))</f>
        <v>194533051.5</v>
      </c>
      <c r="I169">
        <f>WEEKNUM(Слияние1[[#This Row],[Дата]],2)</f>
        <v>22</v>
      </c>
      <c r="J169" s="15">
        <f>Слияние1[[#This Row],[Товарооборот, руб]] / SUM(Слияние1[Товарооборот, руб])</f>
        <v>1.3503825916026456E-3</v>
      </c>
    </row>
    <row r="170" spans="1:10" x14ac:dyDescent="0.3">
      <c r="A170" s="13">
        <v>43977</v>
      </c>
      <c r="B170" t="s">
        <v>11</v>
      </c>
      <c r="C170">
        <v>79975.5</v>
      </c>
      <c r="D170">
        <v>6676459.5</v>
      </c>
      <c r="E170">
        <v>31</v>
      </c>
      <c r="F170">
        <v>5493</v>
      </c>
      <c r="G170">
        <v>5119</v>
      </c>
      <c r="H170" cm="1">
        <f t="array" ref="H170">SUMPRODUCT((I170:I1168=22)*(D170:D1168))</f>
        <v>187831968</v>
      </c>
      <c r="I170">
        <f>WEEKNUM(Слияние1[[#This Row],[Дата]],2)</f>
        <v>22</v>
      </c>
      <c r="J170" s="15">
        <f>Слияние1[[#This Row],[Товарооборот, руб]] / SUM(Слияние1[Товарооборот, руб])</f>
        <v>1.34542043571612E-3</v>
      </c>
    </row>
    <row r="171" spans="1:10" x14ac:dyDescent="0.3">
      <c r="A171" s="13">
        <v>43967</v>
      </c>
      <c r="B171" t="s">
        <v>16</v>
      </c>
      <c r="C171">
        <v>81331.5</v>
      </c>
      <c r="D171">
        <v>6652179</v>
      </c>
      <c r="E171">
        <v>36</v>
      </c>
      <c r="F171">
        <v>5286</v>
      </c>
      <c r="G171">
        <v>4867</v>
      </c>
      <c r="H171" cm="1">
        <f t="array" ref="H171">SUMPRODUCT((I171:I1169=22)*(D171:D1169))</f>
        <v>181155508.5</v>
      </c>
      <c r="I171">
        <f>WEEKNUM(Слияние1[[#This Row],[Дата]],2)</f>
        <v>20</v>
      </c>
      <c r="J171" s="15">
        <f>Слияние1[[#This Row],[Товарооборот, руб]] / SUM(Слияние1[Товарооборот, руб])</f>
        <v>1.34052750093693E-3</v>
      </c>
    </row>
    <row r="172" spans="1:10" x14ac:dyDescent="0.3">
      <c r="A172" s="13">
        <v>43976</v>
      </c>
      <c r="B172" t="s">
        <v>11</v>
      </c>
      <c r="C172">
        <v>76999.5</v>
      </c>
      <c r="D172">
        <v>6645603</v>
      </c>
      <c r="E172">
        <v>31</v>
      </c>
      <c r="F172">
        <v>5210</v>
      </c>
      <c r="G172">
        <v>4841</v>
      </c>
      <c r="H172" cm="1">
        <f t="array" ref="H172">SUMPRODUCT((I172:I1170=22)*(D172:D1170))</f>
        <v>181155508.5</v>
      </c>
      <c r="I172">
        <f>WEEKNUM(Слияние1[[#This Row],[Дата]],2)</f>
        <v>22</v>
      </c>
      <c r="J172" s="15">
        <f>Слияние1[[#This Row],[Товарооборот, руб]] / SUM(Слияние1[Товарооборот, руб])</f>
        <v>1.3392023248034912E-3</v>
      </c>
    </row>
    <row r="173" spans="1:10" x14ac:dyDescent="0.3">
      <c r="A173" s="13">
        <v>43955</v>
      </c>
      <c r="B173" t="s">
        <v>11</v>
      </c>
      <c r="C173">
        <v>72928.5</v>
      </c>
      <c r="D173">
        <v>6642249</v>
      </c>
      <c r="E173">
        <v>31</v>
      </c>
      <c r="F173">
        <v>4968</v>
      </c>
      <c r="G173">
        <v>4596</v>
      </c>
      <c r="H173" cm="1">
        <f t="array" ref="H173">SUMPRODUCT((I173:I1171=22)*(D173:D1171))</f>
        <v>174509905.5</v>
      </c>
      <c r="I173">
        <f>WEEKNUM(Слияние1[[#This Row],[Дата]],2)</f>
        <v>19</v>
      </c>
      <c r="J173" s="15">
        <f>Слияние1[[#This Row],[Товарооборот, руб]] / SUM(Слияние1[Товарооборот, руб])</f>
        <v>1.3385264366113452E-3</v>
      </c>
    </row>
    <row r="174" spans="1:10" x14ac:dyDescent="0.3">
      <c r="A174" s="13">
        <v>43979</v>
      </c>
      <c r="B174" t="s">
        <v>11</v>
      </c>
      <c r="C174">
        <v>78141</v>
      </c>
      <c r="D174">
        <v>6641569.5</v>
      </c>
      <c r="E174">
        <v>31</v>
      </c>
      <c r="F174">
        <v>5355</v>
      </c>
      <c r="G174">
        <v>4969</v>
      </c>
      <c r="H174" cm="1">
        <f t="array" ref="H174">SUMPRODUCT((I174:I1172=22)*(D174:D1172))</f>
        <v>174509905.5</v>
      </c>
      <c r="I174">
        <f>WEEKNUM(Слияние1[[#This Row],[Дата]],2)</f>
        <v>22</v>
      </c>
      <c r="J174" s="15">
        <f>Слияние1[[#This Row],[Товарооборот, руб]] / SUM(Слияние1[Товарооборот, руб])</f>
        <v>1.3383895057745641E-3</v>
      </c>
    </row>
    <row r="175" spans="1:10" x14ac:dyDescent="0.3">
      <c r="A175" s="13">
        <v>43972</v>
      </c>
      <c r="B175" t="s">
        <v>11</v>
      </c>
      <c r="C175">
        <v>79485</v>
      </c>
      <c r="D175">
        <v>6633847.5</v>
      </c>
      <c r="E175">
        <v>31</v>
      </c>
      <c r="F175">
        <v>5207</v>
      </c>
      <c r="G175">
        <v>4868</v>
      </c>
      <c r="H175" cm="1">
        <f t="array" ref="H175">SUMPRODUCT((I175:I1173=22)*(D175:D1173))</f>
        <v>167868336</v>
      </c>
      <c r="I175">
        <f>WEEKNUM(Слияние1[[#This Row],[Дата]],2)</f>
        <v>21</v>
      </c>
      <c r="J175" s="15">
        <f>Слияние1[[#This Row],[Товарооборот, руб]] / SUM(Слияние1[Товарооборот, руб])</f>
        <v>1.3368333910996231E-3</v>
      </c>
    </row>
    <row r="176" spans="1:10" x14ac:dyDescent="0.3">
      <c r="A176" s="13">
        <v>43969</v>
      </c>
      <c r="B176" t="s">
        <v>11</v>
      </c>
      <c r="C176">
        <v>78058.5</v>
      </c>
      <c r="D176">
        <v>6609714</v>
      </c>
      <c r="E176">
        <v>31</v>
      </c>
      <c r="F176">
        <v>5165</v>
      </c>
      <c r="G176">
        <v>4813</v>
      </c>
      <c r="H176" cm="1">
        <f t="array" ref="H176">SUMPRODUCT((I176:I1174=22)*(D176:D1174))</f>
        <v>167868336</v>
      </c>
      <c r="I176">
        <f>WEEKNUM(Слияние1[[#This Row],[Дата]],2)</f>
        <v>21</v>
      </c>
      <c r="J176" s="15">
        <f>Слияние1[[#This Row],[Товарооборот, руб]] / SUM(Слияние1[Товарооборот, руб])</f>
        <v>1.3319700793270653E-3</v>
      </c>
    </row>
    <row r="177" spans="1:10" x14ac:dyDescent="0.3">
      <c r="A177" s="13">
        <v>43958</v>
      </c>
      <c r="B177" t="s">
        <v>11</v>
      </c>
      <c r="C177">
        <v>73204.5</v>
      </c>
      <c r="D177">
        <v>6591883.5</v>
      </c>
      <c r="E177">
        <v>31</v>
      </c>
      <c r="F177">
        <v>4903</v>
      </c>
      <c r="G177">
        <v>4527</v>
      </c>
      <c r="H177" cm="1">
        <f t="array" ref="H177">SUMPRODUCT((I177:I1175=22)*(D177:D1175))</f>
        <v>167868336</v>
      </c>
      <c r="I177">
        <f>WEEKNUM(Слияние1[[#This Row],[Дата]],2)</f>
        <v>19</v>
      </c>
      <c r="J177" s="15">
        <f>Слияние1[[#This Row],[Товарооборот, руб]] / SUM(Слияние1[Товарооборот, руб])</f>
        <v>1.3283769295327715E-3</v>
      </c>
    </row>
    <row r="178" spans="1:10" x14ac:dyDescent="0.3">
      <c r="A178" s="13">
        <v>43982</v>
      </c>
      <c r="B178" t="s">
        <v>16</v>
      </c>
      <c r="C178">
        <v>76234.5</v>
      </c>
      <c r="D178">
        <v>6500848.5</v>
      </c>
      <c r="E178">
        <v>37</v>
      </c>
      <c r="F178">
        <v>5215</v>
      </c>
      <c r="G178">
        <v>4848</v>
      </c>
      <c r="H178" cm="1">
        <f t="array" ref="H178">SUMPRODUCT((I178:I1176=22)*(D178:D1176))</f>
        <v>167868336</v>
      </c>
      <c r="I178">
        <f>WEEKNUM(Слияние1[[#This Row],[Дата]],2)</f>
        <v>22</v>
      </c>
      <c r="J178" s="15">
        <f>Слияние1[[#This Row],[Товарооборот, руб]] / SUM(Слияние1[Товарооборот, руб])</f>
        <v>1.3100318247110591E-3</v>
      </c>
    </row>
    <row r="179" spans="1:10" x14ac:dyDescent="0.3">
      <c r="A179" s="13">
        <v>43950</v>
      </c>
      <c r="B179" t="s">
        <v>16</v>
      </c>
      <c r="C179">
        <v>74707.5</v>
      </c>
      <c r="D179">
        <v>6454458</v>
      </c>
      <c r="E179">
        <v>36</v>
      </c>
      <c r="F179">
        <v>4937</v>
      </c>
      <c r="G179">
        <v>4561</v>
      </c>
      <c r="H179" cm="1">
        <f t="array" ref="H179">SUMPRODUCT((I179:I1177=22)*(D179:D1177))</f>
        <v>161367487.5</v>
      </c>
      <c r="I179">
        <f>WEEKNUM(Слияние1[[#This Row],[Дата]],2)</f>
        <v>18</v>
      </c>
      <c r="J179" s="15">
        <f>Слияние1[[#This Row],[Товарооборот, руб]] / SUM(Слияние1[Товарооборот, руб])</f>
        <v>1.3006833479138752E-3</v>
      </c>
    </row>
    <row r="180" spans="1:10" x14ac:dyDescent="0.3">
      <c r="A180" s="13">
        <v>43975</v>
      </c>
      <c r="B180" t="s">
        <v>11</v>
      </c>
      <c r="C180">
        <v>76663.5</v>
      </c>
      <c r="D180">
        <v>6451032</v>
      </c>
      <c r="E180">
        <v>31</v>
      </c>
      <c r="F180">
        <v>5035</v>
      </c>
      <c r="G180">
        <v>4683</v>
      </c>
      <c r="H180" cm="1">
        <f t="array" ref="H180">SUMPRODUCT((I180:I1178=22)*(D180:D1178))</f>
        <v>161367487.5</v>
      </c>
      <c r="I180">
        <f>WEEKNUM(Слияние1[[#This Row],[Дата]],2)</f>
        <v>21</v>
      </c>
      <c r="J180" s="15">
        <f>Слияние1[[#This Row],[Товарооборот, руб]] / SUM(Слияние1[Товарооборот, руб])</f>
        <v>1.2999929504939906E-3</v>
      </c>
    </row>
    <row r="181" spans="1:10" x14ac:dyDescent="0.3">
      <c r="A181" s="13">
        <v>43962</v>
      </c>
      <c r="B181" t="s">
        <v>11</v>
      </c>
      <c r="C181">
        <v>72220.5</v>
      </c>
      <c r="D181">
        <v>6398719.5</v>
      </c>
      <c r="E181">
        <v>31</v>
      </c>
      <c r="F181">
        <v>4826</v>
      </c>
      <c r="G181">
        <v>4483</v>
      </c>
      <c r="H181" cm="1">
        <f t="array" ref="H181">SUMPRODUCT((I181:I1179=22)*(D181:D1179))</f>
        <v>161367487.5</v>
      </c>
      <c r="I181">
        <f>WEEKNUM(Слияние1[[#This Row],[Дата]],2)</f>
        <v>20</v>
      </c>
      <c r="J181" s="15">
        <f>Слияние1[[#This Row],[Товарооборот, руб]] / SUM(Слияние1[Товарооборот, руб])</f>
        <v>1.2894510897153251E-3</v>
      </c>
    </row>
    <row r="182" spans="1:10" x14ac:dyDescent="0.3">
      <c r="A182" s="13">
        <v>43963</v>
      </c>
      <c r="B182" t="s">
        <v>11</v>
      </c>
      <c r="C182">
        <v>71520</v>
      </c>
      <c r="D182">
        <v>6398361</v>
      </c>
      <c r="E182">
        <v>31</v>
      </c>
      <c r="F182">
        <v>4800</v>
      </c>
      <c r="G182">
        <v>4470</v>
      </c>
      <c r="H182" cm="1">
        <f t="array" ref="H182">SUMPRODUCT((I182:I1180=22)*(D182:D1180))</f>
        <v>161367487.5</v>
      </c>
      <c r="I182">
        <f>WEEKNUM(Слияние1[[#This Row],[Дата]],2)</f>
        <v>20</v>
      </c>
      <c r="J182" s="15">
        <f>Слияние1[[#This Row],[Товарооборот, руб]] / SUM(Слияние1[Товарооборот, руб])</f>
        <v>1.2893788458522111E-3</v>
      </c>
    </row>
    <row r="183" spans="1:10" x14ac:dyDescent="0.3">
      <c r="A183" s="13">
        <v>43964</v>
      </c>
      <c r="B183" t="s">
        <v>16</v>
      </c>
      <c r="C183">
        <v>73062</v>
      </c>
      <c r="D183">
        <v>6333828</v>
      </c>
      <c r="E183">
        <v>36</v>
      </c>
      <c r="F183">
        <v>4967</v>
      </c>
      <c r="G183">
        <v>4583</v>
      </c>
      <c r="H183" cm="1">
        <f t="array" ref="H183">SUMPRODUCT((I183:I1181=22)*(D183:D1181))</f>
        <v>161367487.5</v>
      </c>
      <c r="I183">
        <f>WEEKNUM(Слияние1[[#This Row],[Дата]],2)</f>
        <v>20</v>
      </c>
      <c r="J183" s="15">
        <f>Слияние1[[#This Row],[Товарооборот, руб]] / SUM(Слияние1[Товарооборот, руб])</f>
        <v>1.2763743459405336E-3</v>
      </c>
    </row>
    <row r="184" spans="1:10" x14ac:dyDescent="0.3">
      <c r="A184" s="13">
        <v>43966</v>
      </c>
      <c r="B184" t="s">
        <v>16</v>
      </c>
      <c r="C184">
        <v>75642</v>
      </c>
      <c r="D184">
        <v>6293952</v>
      </c>
      <c r="E184">
        <v>36</v>
      </c>
      <c r="F184">
        <v>4862</v>
      </c>
      <c r="G184">
        <v>4476</v>
      </c>
      <c r="H184" cm="1">
        <f t="array" ref="H184">SUMPRODUCT((I184:I1182=22)*(D184:D1182))</f>
        <v>161367487.5</v>
      </c>
      <c r="I184">
        <f>WEEKNUM(Слияние1[[#This Row],[Дата]],2)</f>
        <v>20</v>
      </c>
      <c r="J184" s="15">
        <f>Слияние1[[#This Row],[Товарооборот, руб]] / SUM(Слияние1[Товарооборот, руб])</f>
        <v>1.2683386519780949E-3</v>
      </c>
    </row>
    <row r="185" spans="1:10" x14ac:dyDescent="0.3">
      <c r="A185" s="13">
        <v>43959</v>
      </c>
      <c r="B185" t="s">
        <v>11</v>
      </c>
      <c r="C185">
        <v>69544.5</v>
      </c>
      <c r="D185">
        <v>6293776.5</v>
      </c>
      <c r="E185">
        <v>31</v>
      </c>
      <c r="F185">
        <v>4635</v>
      </c>
      <c r="G185">
        <v>4266</v>
      </c>
      <c r="H185" cm="1">
        <f t="array" ref="H185">SUMPRODUCT((I185:I1183=22)*(D185:D1183))</f>
        <v>161367487.5</v>
      </c>
      <c r="I185">
        <f>WEEKNUM(Слияние1[[#This Row],[Дата]],2)</f>
        <v>19</v>
      </c>
      <c r="J185" s="15">
        <f>Слияние1[[#This Row],[Товарооборот, руб]] / SUM(Слияние1[Товарооборот, руб])</f>
        <v>1.2683032857354827E-3</v>
      </c>
    </row>
    <row r="186" spans="1:10" x14ac:dyDescent="0.3">
      <c r="A186" s="13">
        <v>43949</v>
      </c>
      <c r="B186" t="s">
        <v>16</v>
      </c>
      <c r="C186">
        <v>73147.5</v>
      </c>
      <c r="D186">
        <v>6288246</v>
      </c>
      <c r="E186">
        <v>36</v>
      </c>
      <c r="F186">
        <v>4923</v>
      </c>
      <c r="G186">
        <v>4560</v>
      </c>
      <c r="H186" cm="1">
        <f t="array" ref="H186">SUMPRODUCT((I186:I1184=22)*(D186:D1184))</f>
        <v>161367487.5</v>
      </c>
      <c r="I186">
        <f>WEEKNUM(Слияние1[[#This Row],[Дата]],2)</f>
        <v>18</v>
      </c>
      <c r="J186" s="15">
        <f>Слияние1[[#This Row],[Товарооборот, руб]] / SUM(Слияние1[Товарооборот, руб])</f>
        <v>1.2671887956798285E-3</v>
      </c>
    </row>
    <row r="187" spans="1:10" x14ac:dyDescent="0.3">
      <c r="A187" s="13">
        <v>43960</v>
      </c>
      <c r="B187" t="s">
        <v>11</v>
      </c>
      <c r="C187">
        <v>69720</v>
      </c>
      <c r="D187">
        <v>6264933</v>
      </c>
      <c r="E187">
        <v>31</v>
      </c>
      <c r="F187">
        <v>4556</v>
      </c>
      <c r="G187">
        <v>4220</v>
      </c>
      <c r="H187" cm="1">
        <f t="array" ref="H187">SUMPRODUCT((I187:I1185=22)*(D187:D1185))</f>
        <v>161367487.5</v>
      </c>
      <c r="I187">
        <f>WEEKNUM(Слияние1[[#This Row],[Дата]],2)</f>
        <v>19</v>
      </c>
      <c r="J187" s="15">
        <f>Слияние1[[#This Row],[Товарооборот, руб]] / SUM(Слияние1[Товарооборот, руб])</f>
        <v>1.2624908286483726E-3</v>
      </c>
    </row>
    <row r="188" spans="1:10" x14ac:dyDescent="0.3">
      <c r="A188" s="13">
        <v>43954</v>
      </c>
      <c r="B188" t="s">
        <v>16</v>
      </c>
      <c r="C188">
        <v>70581</v>
      </c>
      <c r="D188">
        <v>6221320.5</v>
      </c>
      <c r="E188">
        <v>36</v>
      </c>
      <c r="F188">
        <v>4751</v>
      </c>
      <c r="G188">
        <v>4370</v>
      </c>
      <c r="H188" cm="1">
        <f t="array" ref="H188">SUMPRODUCT((I188:I1186=22)*(D188:D1186))</f>
        <v>161367487.5</v>
      </c>
      <c r="I188">
        <f>WEEKNUM(Слияние1[[#This Row],[Дата]],2)</f>
        <v>18</v>
      </c>
      <c r="J188" s="15">
        <f>Слияние1[[#This Row],[Товарооборот, руб]] / SUM(Слияние1[Товарооборот, руб])</f>
        <v>1.2537021662214277E-3</v>
      </c>
    </row>
    <row r="189" spans="1:10" x14ac:dyDescent="0.3">
      <c r="A189" s="13">
        <v>43958</v>
      </c>
      <c r="B189" t="s">
        <v>16</v>
      </c>
      <c r="C189">
        <v>71067</v>
      </c>
      <c r="D189">
        <v>6175837.5</v>
      </c>
      <c r="E189">
        <v>36</v>
      </c>
      <c r="F189">
        <v>4826</v>
      </c>
      <c r="G189">
        <v>4426</v>
      </c>
      <c r="H189" cm="1">
        <f t="array" ref="H189">SUMPRODUCT((I189:I1187=22)*(D189:D1187))</f>
        <v>161367487.5</v>
      </c>
      <c r="I189">
        <f>WEEKNUM(Слияние1[[#This Row],[Дата]],2)</f>
        <v>19</v>
      </c>
      <c r="J189" s="15">
        <f>Слияние1[[#This Row],[Товарооборот, руб]] / SUM(Слияние1[Товарооборот, руб])</f>
        <v>1.2445365661488629E-3</v>
      </c>
    </row>
    <row r="190" spans="1:10" x14ac:dyDescent="0.3">
      <c r="A190" s="13">
        <v>43970</v>
      </c>
      <c r="B190" t="s">
        <v>16</v>
      </c>
      <c r="C190">
        <v>75796.5</v>
      </c>
      <c r="D190">
        <v>6173463</v>
      </c>
      <c r="E190">
        <v>36</v>
      </c>
      <c r="F190">
        <v>5094</v>
      </c>
      <c r="G190">
        <v>4716</v>
      </c>
      <c r="H190" cm="1">
        <f t="array" ref="H190">SUMPRODUCT((I190:I1188=22)*(D190:D1188))</f>
        <v>161367487.5</v>
      </c>
      <c r="I190">
        <f>WEEKNUM(Слияние1[[#This Row],[Дата]],2)</f>
        <v>21</v>
      </c>
      <c r="J190" s="15">
        <f>Слияние1[[#This Row],[Товарооборот, руб]] / SUM(Слияние1[Товарооборот, руб])</f>
        <v>1.2440580639090744E-3</v>
      </c>
    </row>
    <row r="191" spans="1:10" x14ac:dyDescent="0.3">
      <c r="A191" s="13">
        <v>43957</v>
      </c>
      <c r="B191" t="s">
        <v>11</v>
      </c>
      <c r="C191">
        <v>68994</v>
      </c>
      <c r="D191">
        <v>6168657</v>
      </c>
      <c r="E191">
        <v>31</v>
      </c>
      <c r="F191">
        <v>4709</v>
      </c>
      <c r="G191">
        <v>4348</v>
      </c>
      <c r="H191" cm="1">
        <f t="array" ref="H191">SUMPRODUCT((I191:I1189=22)*(D191:D1189))</f>
        <v>161367487.5</v>
      </c>
      <c r="I191">
        <f>WEEKNUM(Слияние1[[#This Row],[Дата]],2)</f>
        <v>19</v>
      </c>
      <c r="J191" s="15">
        <f>Слияние1[[#This Row],[Товарооборот, руб]] / SUM(Слияние1[Товарооборот, руб])</f>
        <v>1.2430895729575375E-3</v>
      </c>
    </row>
    <row r="192" spans="1:10" x14ac:dyDescent="0.3">
      <c r="A192" s="13">
        <v>43979</v>
      </c>
      <c r="B192" t="s">
        <v>16</v>
      </c>
      <c r="C192">
        <v>69945</v>
      </c>
      <c r="D192">
        <v>6101931</v>
      </c>
      <c r="E192">
        <v>37</v>
      </c>
      <c r="F192">
        <v>4840</v>
      </c>
      <c r="G192">
        <v>4475</v>
      </c>
      <c r="H192" cm="1">
        <f t="array" ref="H192">SUMPRODUCT((I192:I1190=22)*(D192:D1190))</f>
        <v>161367487.5</v>
      </c>
      <c r="I192">
        <f>WEEKNUM(Слияние1[[#This Row],[Дата]],2)</f>
        <v>22</v>
      </c>
      <c r="J192" s="15">
        <f>Слияние1[[#This Row],[Товарооборот, руб]] / SUM(Слияние1[Товарооборот, руб])</f>
        <v>1.2296431461509953E-3</v>
      </c>
    </row>
    <row r="193" spans="1:10" x14ac:dyDescent="0.3">
      <c r="A193" s="13">
        <v>43975</v>
      </c>
      <c r="B193" t="s">
        <v>16</v>
      </c>
      <c r="C193">
        <v>74649</v>
      </c>
      <c r="D193">
        <v>6098236.5</v>
      </c>
      <c r="E193">
        <v>36</v>
      </c>
      <c r="F193">
        <v>4915</v>
      </c>
      <c r="G193">
        <v>4562</v>
      </c>
      <c r="H193" cm="1">
        <f t="array" ref="H193">SUMPRODUCT((I193:I1191=22)*(D193:D1191))</f>
        <v>155265556.5</v>
      </c>
      <c r="I193">
        <f>WEEKNUM(Слияние1[[#This Row],[Дата]],2)</f>
        <v>21</v>
      </c>
      <c r="J193" s="15">
        <f>Слияние1[[#This Row],[Товарооборот, руб]] / SUM(Слияние1[Товарооборот, руб])</f>
        <v>1.2288986414026697E-3</v>
      </c>
    </row>
    <row r="194" spans="1:10" x14ac:dyDescent="0.3">
      <c r="A194" s="13">
        <v>43965</v>
      </c>
      <c r="B194" t="s">
        <v>11</v>
      </c>
      <c r="C194">
        <v>70498.5</v>
      </c>
      <c r="D194">
        <v>6053649</v>
      </c>
      <c r="E194">
        <v>31</v>
      </c>
      <c r="F194">
        <v>4695</v>
      </c>
      <c r="G194">
        <v>4372</v>
      </c>
      <c r="H194" cm="1">
        <f t="array" ref="H194">SUMPRODUCT((I194:I1192=22)*(D194:D1192))</f>
        <v>155265556.5</v>
      </c>
      <c r="I194">
        <f>WEEKNUM(Слияние1[[#This Row],[Дата]],2)</f>
        <v>20</v>
      </c>
      <c r="J194" s="15">
        <f>Слияние1[[#This Row],[Товарооборот, руб]] / SUM(Слияние1[Товарооборот, руб])</f>
        <v>1.219913499850101E-3</v>
      </c>
    </row>
    <row r="195" spans="1:10" x14ac:dyDescent="0.3">
      <c r="A195" s="13">
        <v>43978</v>
      </c>
      <c r="B195" t="s">
        <v>16</v>
      </c>
      <c r="C195">
        <v>69010.5</v>
      </c>
      <c r="D195">
        <v>5985894</v>
      </c>
      <c r="E195">
        <v>36</v>
      </c>
      <c r="F195">
        <v>4951</v>
      </c>
      <c r="G195">
        <v>4584</v>
      </c>
      <c r="H195" cm="1">
        <f t="array" ref="H195">SUMPRODUCT((I195:I1193=22)*(D195:D1193))</f>
        <v>155265556.5</v>
      </c>
      <c r="I195">
        <f>WEEKNUM(Слияние1[[#This Row],[Дата]],2)</f>
        <v>22</v>
      </c>
      <c r="J195" s="15">
        <f>Слияние1[[#This Row],[Товарооборот, руб]] / SUM(Слияние1[Товарооборот, руб])</f>
        <v>1.2062597119971311E-3</v>
      </c>
    </row>
    <row r="196" spans="1:10" x14ac:dyDescent="0.3">
      <c r="A196" s="13">
        <v>43968</v>
      </c>
      <c r="B196" t="s">
        <v>16</v>
      </c>
      <c r="C196">
        <v>72861</v>
      </c>
      <c r="D196">
        <v>5952802.5</v>
      </c>
      <c r="E196">
        <v>36</v>
      </c>
      <c r="F196">
        <v>4918</v>
      </c>
      <c r="G196">
        <v>4554</v>
      </c>
      <c r="H196" cm="1">
        <f t="array" ref="H196">SUMPRODUCT((I196:I1194=22)*(D196:D1194))</f>
        <v>149279662.5</v>
      </c>
      <c r="I196">
        <f>WEEKNUM(Слияние1[[#This Row],[Дата]],2)</f>
        <v>20</v>
      </c>
      <c r="J196" s="15">
        <f>Слияние1[[#This Row],[Товарооборот, руб]] / SUM(Слияние1[Товарооборот, руб])</f>
        <v>1.1995912104734567E-3</v>
      </c>
    </row>
    <row r="197" spans="1:10" x14ac:dyDescent="0.3">
      <c r="A197" s="13">
        <v>43973</v>
      </c>
      <c r="B197" t="s">
        <v>16</v>
      </c>
      <c r="C197">
        <v>75820.5</v>
      </c>
      <c r="D197">
        <v>5943489</v>
      </c>
      <c r="E197">
        <v>36</v>
      </c>
      <c r="F197">
        <v>4857</v>
      </c>
      <c r="G197">
        <v>4456</v>
      </c>
      <c r="H197" cm="1">
        <f t="array" ref="H197">SUMPRODUCT((I197:I1195=22)*(D197:D1195))</f>
        <v>149279662.5</v>
      </c>
      <c r="I197">
        <f>WEEKNUM(Слияние1[[#This Row],[Дата]],2)</f>
        <v>21</v>
      </c>
      <c r="J197" s="15">
        <f>Слияние1[[#This Row],[Товарооборот, руб]] / SUM(Слияние1[Товарооборот, руб])</f>
        <v>1.1977143814103819E-3</v>
      </c>
    </row>
    <row r="198" spans="1:10" x14ac:dyDescent="0.3">
      <c r="A198" s="13">
        <v>43977</v>
      </c>
      <c r="B198" t="s">
        <v>16</v>
      </c>
      <c r="C198">
        <v>67726.5</v>
      </c>
      <c r="D198">
        <v>5864989.5</v>
      </c>
      <c r="E198">
        <v>36</v>
      </c>
      <c r="F198">
        <v>4770</v>
      </c>
      <c r="G198">
        <v>4424</v>
      </c>
      <c r="H198" cm="1">
        <f t="array" ref="H198">SUMPRODUCT((I198:I1196=22)*(D198:D1196))</f>
        <v>149279662.5</v>
      </c>
      <c r="I198">
        <f>WEEKNUM(Слияние1[[#This Row],[Дата]],2)</f>
        <v>22</v>
      </c>
      <c r="J198" s="15">
        <f>Слияние1[[#This Row],[Товарооборот, руб]] / SUM(Слияние1[Товарооборот, руб])</f>
        <v>1.1818953935930367E-3</v>
      </c>
    </row>
    <row r="199" spans="1:10" x14ac:dyDescent="0.3">
      <c r="A199" s="13">
        <v>43972</v>
      </c>
      <c r="B199" t="s">
        <v>16</v>
      </c>
      <c r="C199">
        <v>73126.5</v>
      </c>
      <c r="D199">
        <v>5864085</v>
      </c>
      <c r="E199">
        <v>36</v>
      </c>
      <c r="F199">
        <v>4816</v>
      </c>
      <c r="G199">
        <v>4452</v>
      </c>
      <c r="H199" cm="1">
        <f t="array" ref="H199">SUMPRODUCT((I199:I1197=22)*(D199:D1197))</f>
        <v>143414673</v>
      </c>
      <c r="I199">
        <f>WEEKNUM(Слияние1[[#This Row],[Дата]],2)</f>
        <v>21</v>
      </c>
      <c r="J199" s="15">
        <f>Слияние1[[#This Row],[Товарооборот, руб]] / SUM(Слияние1[Товарооборот, руб])</f>
        <v>1.1817131214195734E-3</v>
      </c>
    </row>
    <row r="200" spans="1:10" x14ac:dyDescent="0.3">
      <c r="A200" s="13">
        <v>43983</v>
      </c>
      <c r="B200" t="s">
        <v>16</v>
      </c>
      <c r="C200">
        <v>64740</v>
      </c>
      <c r="D200">
        <v>5800290</v>
      </c>
      <c r="E200">
        <v>37</v>
      </c>
      <c r="F200">
        <v>4722</v>
      </c>
      <c r="G200">
        <v>4352</v>
      </c>
      <c r="H200" cm="1">
        <f t="array" ref="H200">SUMPRODUCT((I200:I1198=22)*(D200:D1198))</f>
        <v>143414673</v>
      </c>
      <c r="I200">
        <f>WEEKNUM(Слияние1[[#This Row],[Дата]],2)</f>
        <v>23</v>
      </c>
      <c r="J200" s="15">
        <f>Слияние1[[#This Row],[Товарооборот, руб]] / SUM(Слияние1[Товарооборот, руб])</f>
        <v>1.1688573410922143E-3</v>
      </c>
    </row>
    <row r="201" spans="1:10" x14ac:dyDescent="0.3">
      <c r="A201" s="13">
        <v>43969</v>
      </c>
      <c r="B201" t="s">
        <v>16</v>
      </c>
      <c r="C201">
        <v>70278</v>
      </c>
      <c r="D201">
        <v>5798476.5</v>
      </c>
      <c r="E201">
        <v>36</v>
      </c>
      <c r="F201">
        <v>4885</v>
      </c>
      <c r="G201">
        <v>4502</v>
      </c>
      <c r="H201" cm="1">
        <f t="array" ref="H201">SUMPRODUCT((I201:I1199=22)*(D201:D1199))</f>
        <v>143414673</v>
      </c>
      <c r="I201">
        <f>WEEKNUM(Слияние1[[#This Row],[Дата]],2)</f>
        <v>21</v>
      </c>
      <c r="J201" s="15">
        <f>Слияние1[[#This Row],[Товарооборот, руб]] / SUM(Слияние1[Товарооборот, руб])</f>
        <v>1.1684918899185538E-3</v>
      </c>
    </row>
    <row r="202" spans="1:10" x14ac:dyDescent="0.3">
      <c r="A202" s="13">
        <v>43956</v>
      </c>
      <c r="B202" t="s">
        <v>16</v>
      </c>
      <c r="C202">
        <v>66396</v>
      </c>
      <c r="D202">
        <v>5770539</v>
      </c>
      <c r="E202">
        <v>36</v>
      </c>
      <c r="F202">
        <v>4575</v>
      </c>
      <c r="G202">
        <v>4206</v>
      </c>
      <c r="H202" cm="1">
        <f t="array" ref="H202">SUMPRODUCT((I202:I1200=22)*(D202:D1200))</f>
        <v>143414673</v>
      </c>
      <c r="I202">
        <f>WEEKNUM(Слияние1[[#This Row],[Дата]],2)</f>
        <v>19</v>
      </c>
      <c r="J202" s="15">
        <f>Слияние1[[#This Row],[Товарооборот, руб]] / SUM(Слияние1[Товарооборот, руб])</f>
        <v>1.1628620072804852E-3</v>
      </c>
    </row>
    <row r="203" spans="1:10" x14ac:dyDescent="0.3">
      <c r="A203" s="13">
        <v>43976</v>
      </c>
      <c r="B203" t="s">
        <v>16</v>
      </c>
      <c r="C203">
        <v>66316.5</v>
      </c>
      <c r="D203">
        <v>5704650</v>
      </c>
      <c r="E203">
        <v>36</v>
      </c>
      <c r="F203">
        <v>4641</v>
      </c>
      <c r="G203">
        <v>4274</v>
      </c>
      <c r="H203" cm="1">
        <f t="array" ref="H203">SUMPRODUCT((I203:I1201=22)*(D203:D1201))</f>
        <v>143414673</v>
      </c>
      <c r="I203">
        <f>WEEKNUM(Слияние1[[#This Row],[Дата]],2)</f>
        <v>22</v>
      </c>
      <c r="J203" s="15">
        <f>Слияние1[[#This Row],[Товарооборот, руб]] / SUM(Слияние1[Товарооборот, руб])</f>
        <v>1.1495842502464014E-3</v>
      </c>
    </row>
    <row r="204" spans="1:10" x14ac:dyDescent="0.3">
      <c r="A204" s="13">
        <v>43955</v>
      </c>
      <c r="B204" t="s">
        <v>16</v>
      </c>
      <c r="C204">
        <v>64108.5</v>
      </c>
      <c r="D204">
        <v>5561452.5</v>
      </c>
      <c r="E204">
        <v>36</v>
      </c>
      <c r="F204">
        <v>4508</v>
      </c>
      <c r="G204">
        <v>4149</v>
      </c>
      <c r="H204" cm="1">
        <f t="array" ref="H204">SUMPRODUCT((I204:I1202=22)*(D204:D1202))</f>
        <v>137710023</v>
      </c>
      <c r="I204">
        <f>WEEKNUM(Слияние1[[#This Row],[Дата]],2)</f>
        <v>19</v>
      </c>
      <c r="J204" s="15">
        <f>Слияние1[[#This Row],[Товарооборот, руб]] / SUM(Слияние1[Товарооборот, руб])</f>
        <v>1.1207275122038119E-3</v>
      </c>
    </row>
    <row r="205" spans="1:10" x14ac:dyDescent="0.3">
      <c r="A205" s="13">
        <v>43953</v>
      </c>
      <c r="B205" t="s">
        <v>11</v>
      </c>
      <c r="C205">
        <v>60463.5</v>
      </c>
      <c r="D205">
        <v>5554192.5</v>
      </c>
      <c r="E205">
        <v>31</v>
      </c>
      <c r="F205">
        <v>4157</v>
      </c>
      <c r="G205">
        <v>3823</v>
      </c>
      <c r="H205" cm="1">
        <f t="array" ref="H205">SUMPRODUCT((I205:I1203=22)*(D205:D1203))</f>
        <v>137710023</v>
      </c>
      <c r="I205">
        <f>WEEKNUM(Слияние1[[#This Row],[Дата]],2)</f>
        <v>18</v>
      </c>
      <c r="J205" s="15">
        <f>Слияние1[[#This Row],[Товарооборот, руб]] / SUM(Слияние1[Товарооборот, руб])</f>
        <v>1.1192644984068588E-3</v>
      </c>
    </row>
    <row r="206" spans="1:10" x14ac:dyDescent="0.3">
      <c r="A206" s="13">
        <v>43963</v>
      </c>
      <c r="B206" t="s">
        <v>16</v>
      </c>
      <c r="C206">
        <v>64390.5</v>
      </c>
      <c r="D206">
        <v>5523145.5</v>
      </c>
      <c r="E206">
        <v>36</v>
      </c>
      <c r="F206">
        <v>4418</v>
      </c>
      <c r="G206">
        <v>4088</v>
      </c>
      <c r="H206" cm="1">
        <f t="array" ref="H206">SUMPRODUCT((I206:I1204=22)*(D206:D1204))</f>
        <v>137710023</v>
      </c>
      <c r="I206">
        <f>WEEKNUM(Слияние1[[#This Row],[Дата]],2)</f>
        <v>20</v>
      </c>
      <c r="J206" s="15">
        <f>Слияние1[[#This Row],[Товарооборот, руб]] / SUM(Слияние1[Товарооборот, руб])</f>
        <v>1.1130079984958388E-3</v>
      </c>
    </row>
    <row r="207" spans="1:10" x14ac:dyDescent="0.3">
      <c r="A207" s="13">
        <v>43957</v>
      </c>
      <c r="B207" t="s">
        <v>16</v>
      </c>
      <c r="C207">
        <v>63012</v>
      </c>
      <c r="D207">
        <v>5454121.5</v>
      </c>
      <c r="E207">
        <v>36</v>
      </c>
      <c r="F207">
        <v>4384</v>
      </c>
      <c r="G207">
        <v>4025</v>
      </c>
      <c r="H207" cm="1">
        <f t="array" ref="H207">SUMPRODUCT((I207:I1205=22)*(D207:D1205))</f>
        <v>137710023</v>
      </c>
      <c r="I207">
        <f>WEEKNUM(Слияние1[[#This Row],[Дата]],2)</f>
        <v>19</v>
      </c>
      <c r="J207" s="15">
        <f>Слияние1[[#This Row],[Товарооборот, руб]] / SUM(Слияние1[Товарооборот, руб])</f>
        <v>1.0990984855039799E-3</v>
      </c>
    </row>
    <row r="208" spans="1:10" x14ac:dyDescent="0.3">
      <c r="A208" s="13">
        <v>43965</v>
      </c>
      <c r="B208" t="s">
        <v>16</v>
      </c>
      <c r="C208">
        <v>63645</v>
      </c>
      <c r="D208">
        <v>5366602.5</v>
      </c>
      <c r="E208">
        <v>36</v>
      </c>
      <c r="F208">
        <v>4285</v>
      </c>
      <c r="G208">
        <v>3950</v>
      </c>
      <c r="H208" cm="1">
        <f t="array" ref="H208">SUMPRODUCT((I208:I1206=22)*(D208:D1206))</f>
        <v>137710023</v>
      </c>
      <c r="I208">
        <f>WEEKNUM(Слияние1[[#This Row],[Дата]],2)</f>
        <v>20</v>
      </c>
      <c r="J208" s="15">
        <f>Слияние1[[#This Row],[Товарооборот, руб]] / SUM(Слияние1[Товарооборот, руб])</f>
        <v>1.081461914636825E-3</v>
      </c>
    </row>
    <row r="209" spans="1:10" x14ac:dyDescent="0.3">
      <c r="A209" s="13">
        <v>43959</v>
      </c>
      <c r="B209" t="s">
        <v>16</v>
      </c>
      <c r="C209">
        <v>61804.5</v>
      </c>
      <c r="D209">
        <v>5365708.5</v>
      </c>
      <c r="E209">
        <v>36</v>
      </c>
      <c r="F209">
        <v>4199</v>
      </c>
      <c r="G209">
        <v>3867</v>
      </c>
      <c r="H209" cm="1">
        <f t="array" ref="H209">SUMPRODUCT((I209:I1207=22)*(D209:D1207))</f>
        <v>137710023</v>
      </c>
      <c r="I209">
        <f>WEEKNUM(Слияние1[[#This Row],[Дата]],2)</f>
        <v>19</v>
      </c>
      <c r="J209" s="15">
        <f>Слияние1[[#This Row],[Товарооборот, руб]] / SUM(Слияние1[Товарооборот, руб])</f>
        <v>1.0812817583924067E-3</v>
      </c>
    </row>
    <row r="210" spans="1:10" x14ac:dyDescent="0.3">
      <c r="A210" s="13">
        <v>43962</v>
      </c>
      <c r="B210" t="s">
        <v>16</v>
      </c>
      <c r="C210">
        <v>59574</v>
      </c>
      <c r="D210">
        <v>5178169.5</v>
      </c>
      <c r="E210">
        <v>36</v>
      </c>
      <c r="F210">
        <v>4150</v>
      </c>
      <c r="G210">
        <v>3838</v>
      </c>
      <c r="H210" cm="1">
        <f t="array" ref="H210">SUMPRODUCT((I210:I1208=22)*(D210:D1208))</f>
        <v>137710023</v>
      </c>
      <c r="I210">
        <f>WEEKNUM(Слияние1[[#This Row],[Дата]],2)</f>
        <v>20</v>
      </c>
      <c r="J210" s="15">
        <f>Слияние1[[#This Row],[Товарооборот, руб]] / SUM(Слияние1[Товарооборот, руб])</f>
        <v>1.0434894519920212E-3</v>
      </c>
    </row>
    <row r="211" spans="1:10" x14ac:dyDescent="0.3">
      <c r="A211" s="13">
        <v>43973</v>
      </c>
      <c r="B211" t="s">
        <v>17</v>
      </c>
      <c r="C211">
        <v>53838</v>
      </c>
      <c r="D211">
        <v>4840833</v>
      </c>
      <c r="E211">
        <v>21</v>
      </c>
      <c r="F211">
        <v>2861</v>
      </c>
      <c r="G211">
        <v>2612</v>
      </c>
      <c r="H211" cm="1">
        <f t="array" ref="H211">SUMPRODUCT((I211:I1209=22)*(D211:D1209))</f>
        <v>137710023</v>
      </c>
      <c r="I211">
        <f>WEEKNUM(Слияние1[[#This Row],[Дата]],2)</f>
        <v>21</v>
      </c>
      <c r="J211" s="15">
        <f>Слияние1[[#This Row],[Товарооборот, руб]] / SUM(Слияние1[Товарооборот, руб])</f>
        <v>9.7551039500636124E-4</v>
      </c>
    </row>
    <row r="212" spans="1:10" x14ac:dyDescent="0.3">
      <c r="A212" s="13">
        <v>43981</v>
      </c>
      <c r="B212" t="s">
        <v>17</v>
      </c>
      <c r="C212">
        <v>48286.5</v>
      </c>
      <c r="D212">
        <v>4456441.5</v>
      </c>
      <c r="E212">
        <v>22</v>
      </c>
      <c r="F212">
        <v>2793</v>
      </c>
      <c r="G212">
        <v>2539</v>
      </c>
      <c r="H212" cm="1">
        <f t="array" ref="H212">SUMPRODUCT((I212:I1210=22)*(D212:D1210))</f>
        <v>137710023</v>
      </c>
      <c r="I212">
        <f>WEEKNUM(Слияние1[[#This Row],[Дата]],2)</f>
        <v>22</v>
      </c>
      <c r="J212" s="15">
        <f>Слияние1[[#This Row],[Товарооборот, руб]] / SUM(Слияние1[Товарооборот, руб])</f>
        <v>8.9804895314251514E-4</v>
      </c>
    </row>
    <row r="213" spans="1:10" x14ac:dyDescent="0.3">
      <c r="A213" s="13">
        <v>43952</v>
      </c>
      <c r="B213" t="s">
        <v>17</v>
      </c>
      <c r="C213">
        <v>46620</v>
      </c>
      <c r="D213">
        <v>4293241.5</v>
      </c>
      <c r="E213">
        <v>20</v>
      </c>
      <c r="F213">
        <v>2468</v>
      </c>
      <c r="G213">
        <v>2221</v>
      </c>
      <c r="H213" cm="1">
        <f t="array" ref="H213">SUMPRODUCT((I213:I1211=22)*(D213:D1211))</f>
        <v>133253581.5</v>
      </c>
      <c r="I213">
        <f>WEEKNUM(Слияние1[[#This Row],[Дата]],2)</f>
        <v>18</v>
      </c>
      <c r="J213" s="15">
        <f>Слияние1[[#This Row],[Товарооборот, руб]] / SUM(Слияние1[Товарооборот, руб])</f>
        <v>8.6516137026885717E-4</v>
      </c>
    </row>
    <row r="214" spans="1:10" x14ac:dyDescent="0.3">
      <c r="A214" s="13">
        <v>43953</v>
      </c>
      <c r="B214" t="s">
        <v>16</v>
      </c>
      <c r="C214">
        <v>46216.5</v>
      </c>
      <c r="D214">
        <v>4118251.5</v>
      </c>
      <c r="E214">
        <v>36</v>
      </c>
      <c r="F214">
        <v>3442</v>
      </c>
      <c r="G214">
        <v>3147</v>
      </c>
      <c r="H214" cm="1">
        <f t="array" ref="H214">SUMPRODUCT((I214:I1212=22)*(D214:D1212))</f>
        <v>133253581.5</v>
      </c>
      <c r="I214">
        <f>WEEKNUM(Слияние1[[#This Row],[Дата]],2)</f>
        <v>18</v>
      </c>
      <c r="J214" s="15">
        <f>Слияние1[[#This Row],[Товарооборот, руб]] / SUM(Слияние1[Товарооборот, руб])</f>
        <v>8.2989790135303975E-4</v>
      </c>
    </row>
    <row r="215" spans="1:10" x14ac:dyDescent="0.3">
      <c r="A215" s="13">
        <v>43980</v>
      </c>
      <c r="B215" t="s">
        <v>17</v>
      </c>
      <c r="C215">
        <v>44569.5</v>
      </c>
      <c r="D215">
        <v>4108596</v>
      </c>
      <c r="E215">
        <v>22</v>
      </c>
      <c r="F215">
        <v>2597</v>
      </c>
      <c r="G215">
        <v>2379</v>
      </c>
      <c r="H215" cm="1">
        <f t="array" ref="H215">SUMPRODUCT((I215:I1213=22)*(D215:D1213))</f>
        <v>133253581.5</v>
      </c>
      <c r="I215">
        <f>WEEKNUM(Слияние1[[#This Row],[Дата]],2)</f>
        <v>22</v>
      </c>
      <c r="J215" s="15">
        <f>Слияние1[[#This Row],[Товарооборот, руб]] / SUM(Слияние1[Товарооборот, руб])</f>
        <v>8.2795215345820769E-4</v>
      </c>
    </row>
    <row r="216" spans="1:10" x14ac:dyDescent="0.3">
      <c r="A216" s="13">
        <v>43967</v>
      </c>
      <c r="B216" t="s">
        <v>17</v>
      </c>
      <c r="C216">
        <v>44560.5</v>
      </c>
      <c r="D216">
        <v>4025148</v>
      </c>
      <c r="E216">
        <v>21</v>
      </c>
      <c r="F216">
        <v>2427</v>
      </c>
      <c r="G216">
        <v>2213</v>
      </c>
      <c r="H216" cm="1">
        <f t="array" ref="H216">SUMPRODUCT((I216:I1214=22)*(D216:D1214))</f>
        <v>129144985.5</v>
      </c>
      <c r="I216">
        <f>WEEKNUM(Слияние1[[#This Row],[Дата]],2)</f>
        <v>20</v>
      </c>
      <c r="J216" s="15">
        <f>Слияние1[[#This Row],[Товарооборот, руб]] / SUM(Слияние1[Товарооборот, руб])</f>
        <v>8.1113595850942693E-4</v>
      </c>
    </row>
    <row r="217" spans="1:10" x14ac:dyDescent="0.3">
      <c r="A217" s="13">
        <v>43982</v>
      </c>
      <c r="B217" t="s">
        <v>17</v>
      </c>
      <c r="C217">
        <v>42423</v>
      </c>
      <c r="D217">
        <v>3994153.5</v>
      </c>
      <c r="E217">
        <v>23</v>
      </c>
      <c r="F217">
        <v>2522</v>
      </c>
      <c r="G217">
        <v>2295</v>
      </c>
      <c r="H217" cm="1">
        <f t="array" ref="H217">SUMPRODUCT((I217:I1215=22)*(D217:D1215))</f>
        <v>129144985.5</v>
      </c>
      <c r="I217">
        <f>WEEKNUM(Слияние1[[#This Row],[Дата]],2)</f>
        <v>22</v>
      </c>
      <c r="J217" s="15">
        <f>Слияние1[[#This Row],[Товарооборот, руб]] / SUM(Слияние1[Товарооборот, руб])</f>
        <v>8.0489003824363292E-4</v>
      </c>
    </row>
    <row r="218" spans="1:10" x14ac:dyDescent="0.3">
      <c r="A218" s="13">
        <v>43981</v>
      </c>
      <c r="B218" t="s">
        <v>10</v>
      </c>
      <c r="C218">
        <v>44001</v>
      </c>
      <c r="D218">
        <v>3921784.5</v>
      </c>
      <c r="E218">
        <v>20</v>
      </c>
      <c r="F218">
        <v>2597</v>
      </c>
      <c r="G218">
        <v>2376</v>
      </c>
      <c r="H218" cm="1">
        <f t="array" ref="H218">SUMPRODUCT((I218:I1216=22)*(D218:D1216))</f>
        <v>125150832</v>
      </c>
      <c r="I218">
        <f>WEEKNUM(Слияние1[[#This Row],[Дата]],2)</f>
        <v>22</v>
      </c>
      <c r="J218" s="15">
        <f>Слияние1[[#This Row],[Товарооборот, руб]] / SUM(Слияние1[Товарооборот, руб])</f>
        <v>7.9030645071309516E-4</v>
      </c>
    </row>
    <row r="219" spans="1:10" x14ac:dyDescent="0.3">
      <c r="A219" s="13">
        <v>43971</v>
      </c>
      <c r="B219" t="s">
        <v>17</v>
      </c>
      <c r="C219">
        <v>41391</v>
      </c>
      <c r="D219">
        <v>3918987</v>
      </c>
      <c r="E219">
        <v>21</v>
      </c>
      <c r="F219">
        <v>2410</v>
      </c>
      <c r="G219">
        <v>2202</v>
      </c>
      <c r="H219" cm="1">
        <f t="array" ref="H219">SUMPRODUCT((I219:I1217=22)*(D219:D1217))</f>
        <v>121229047.5</v>
      </c>
      <c r="I219">
        <f>WEEKNUM(Слияние1[[#This Row],[Дата]],2)</f>
        <v>21</v>
      </c>
      <c r="J219" s="15">
        <f>Слияние1[[#This Row],[Товарооборот, руб]] / SUM(Слияние1[Товарооборот, руб])</f>
        <v>7.8974270676034368E-4</v>
      </c>
    </row>
    <row r="220" spans="1:10" x14ac:dyDescent="0.3">
      <c r="A220" s="13">
        <v>43962</v>
      </c>
      <c r="B220" t="s">
        <v>13</v>
      </c>
      <c r="C220">
        <v>42397.5</v>
      </c>
      <c r="D220">
        <v>3911979</v>
      </c>
      <c r="E220">
        <v>19</v>
      </c>
      <c r="F220">
        <v>2530</v>
      </c>
      <c r="G220">
        <v>2270</v>
      </c>
      <c r="H220" cm="1">
        <f t="array" ref="H220">SUMPRODUCT((I220:I1218=22)*(D220:D1218))</f>
        <v>121229047.5</v>
      </c>
      <c r="I220">
        <f>WEEKNUM(Слияние1[[#This Row],[Дата]],2)</f>
        <v>20</v>
      </c>
      <c r="J220" s="15">
        <f>Слияние1[[#This Row],[Товарооборот, руб]] / SUM(Слияние1[Товарооборот, руб])</f>
        <v>7.8833047526047481E-4</v>
      </c>
    </row>
    <row r="221" spans="1:10" x14ac:dyDescent="0.3">
      <c r="A221" s="13">
        <v>43979</v>
      </c>
      <c r="B221" t="s">
        <v>17</v>
      </c>
      <c r="C221">
        <v>41442</v>
      </c>
      <c r="D221">
        <v>3893680.5</v>
      </c>
      <c r="E221">
        <v>22</v>
      </c>
      <c r="F221">
        <v>2454</v>
      </c>
      <c r="G221">
        <v>2239</v>
      </c>
      <c r="H221" cm="1">
        <f t="array" ref="H221">SUMPRODUCT((I221:I1219=22)*(D221:D1219))</f>
        <v>121229047.5</v>
      </c>
      <c r="I221">
        <f>WEEKNUM(Слияние1[[#This Row],[Дата]],2)</f>
        <v>22</v>
      </c>
      <c r="J221" s="15">
        <f>Слияние1[[#This Row],[Товарооборот, руб]] / SUM(Слияние1[Товарооборот, руб])</f>
        <v>7.8464301548588147E-4</v>
      </c>
    </row>
    <row r="222" spans="1:10" x14ac:dyDescent="0.3">
      <c r="A222" s="13">
        <v>43974</v>
      </c>
      <c r="B222" t="s">
        <v>17</v>
      </c>
      <c r="C222">
        <v>42999</v>
      </c>
      <c r="D222">
        <v>3883215</v>
      </c>
      <c r="E222">
        <v>21</v>
      </c>
      <c r="F222">
        <v>2460</v>
      </c>
      <c r="G222">
        <v>2226</v>
      </c>
      <c r="H222" cm="1">
        <f t="array" ref="H222">SUMPRODUCT((I222:I1220=22)*(D222:D1220))</f>
        <v>117335367</v>
      </c>
      <c r="I222">
        <f>WEEKNUM(Слияние1[[#This Row],[Дата]],2)</f>
        <v>21</v>
      </c>
      <c r="J222" s="15">
        <f>Слияние1[[#This Row],[Товарооборот, руб]] / SUM(Слияние1[Товарооборот, руб])</f>
        <v>7.8253403877899259E-4</v>
      </c>
    </row>
    <row r="223" spans="1:10" x14ac:dyDescent="0.3">
      <c r="A223" s="13">
        <v>43983</v>
      </c>
      <c r="B223" t="s">
        <v>17</v>
      </c>
      <c r="C223">
        <v>40528.5</v>
      </c>
      <c r="D223">
        <v>3865251</v>
      </c>
      <c r="E223">
        <v>23</v>
      </c>
      <c r="F223">
        <v>2531</v>
      </c>
      <c r="G223">
        <v>2296</v>
      </c>
      <c r="H223" cm="1">
        <f t="array" ref="H223">SUMPRODUCT((I223:I1221=22)*(D223:D1221))</f>
        <v>117335367</v>
      </c>
      <c r="I223">
        <f>WEEKNUM(Слияние1[[#This Row],[Дата]],2)</f>
        <v>23</v>
      </c>
      <c r="J223" s="15">
        <f>Слияние1[[#This Row],[Товарооборот, руб]] / SUM(Слияние1[Товарооборот, руб])</f>
        <v>7.7891398645826718E-4</v>
      </c>
    </row>
    <row r="224" spans="1:10" x14ac:dyDescent="0.3">
      <c r="A224" s="13">
        <v>43972</v>
      </c>
      <c r="B224" t="s">
        <v>17</v>
      </c>
      <c r="C224">
        <v>40819.5</v>
      </c>
      <c r="D224">
        <v>3810394.5</v>
      </c>
      <c r="E224">
        <v>21</v>
      </c>
      <c r="F224">
        <v>2335</v>
      </c>
      <c r="G224">
        <v>2126</v>
      </c>
      <c r="H224" cm="1">
        <f t="array" ref="H224">SUMPRODUCT((I224:I1222=22)*(D224:D1222))</f>
        <v>117335367</v>
      </c>
      <c r="I224">
        <f>WEEKNUM(Слияние1[[#This Row],[Дата]],2)</f>
        <v>21</v>
      </c>
      <c r="J224" s="15">
        <f>Слияние1[[#This Row],[Товарооборот, руб]] / SUM(Слияние1[Товарооборот, руб])</f>
        <v>7.678594662995121E-4</v>
      </c>
    </row>
    <row r="225" spans="1:10" x14ac:dyDescent="0.3">
      <c r="A225" s="13">
        <v>43978</v>
      </c>
      <c r="B225" t="s">
        <v>17</v>
      </c>
      <c r="C225">
        <v>40420.5</v>
      </c>
      <c r="D225">
        <v>3780852</v>
      </c>
      <c r="E225">
        <v>21</v>
      </c>
      <c r="F225">
        <v>2430</v>
      </c>
      <c r="G225">
        <v>2216</v>
      </c>
      <c r="H225" cm="1">
        <f t="array" ref="H225">SUMPRODUCT((I225:I1223=22)*(D225:D1223))</f>
        <v>117335367</v>
      </c>
      <c r="I225">
        <f>WEEKNUM(Слияние1[[#This Row],[Дата]],2)</f>
        <v>22</v>
      </c>
      <c r="J225" s="15">
        <f>Слияние1[[#This Row],[Товарооборот, руб]] / SUM(Слияние1[Товарооборот, руб])</f>
        <v>7.6190614879310871E-4</v>
      </c>
    </row>
    <row r="226" spans="1:10" x14ac:dyDescent="0.3">
      <c r="A226" s="13">
        <v>43966</v>
      </c>
      <c r="B226" t="s">
        <v>17</v>
      </c>
      <c r="C226">
        <v>41697</v>
      </c>
      <c r="D226">
        <v>3772258.5</v>
      </c>
      <c r="E226">
        <v>21</v>
      </c>
      <c r="F226">
        <v>2255</v>
      </c>
      <c r="G226">
        <v>2045</v>
      </c>
      <c r="H226" cm="1">
        <f t="array" ref="H226">SUMPRODUCT((I226:I1224=22)*(D226:D1224))</f>
        <v>113554515</v>
      </c>
      <c r="I226">
        <f>WEEKNUM(Слияние1[[#This Row],[Дата]],2)</f>
        <v>20</v>
      </c>
      <c r="J226" s="15">
        <f>Слияние1[[#This Row],[Товарооборот, руб]] / SUM(Слияние1[Товарооборот, руб])</f>
        <v>7.6017441200741762E-4</v>
      </c>
    </row>
    <row r="227" spans="1:10" x14ac:dyDescent="0.3">
      <c r="A227" s="13">
        <v>43977</v>
      </c>
      <c r="B227" t="s">
        <v>17</v>
      </c>
      <c r="C227">
        <v>40744.5</v>
      </c>
      <c r="D227">
        <v>3700311</v>
      </c>
      <c r="E227">
        <v>21</v>
      </c>
      <c r="F227">
        <v>2418</v>
      </c>
      <c r="G227">
        <v>2215</v>
      </c>
      <c r="H227" cm="1">
        <f t="array" ref="H227">SUMPRODUCT((I227:I1225=22)*(D227:D1225))</f>
        <v>113554515</v>
      </c>
      <c r="I227">
        <f>WEEKNUM(Слияние1[[#This Row],[Дата]],2)</f>
        <v>22</v>
      </c>
      <c r="J227" s="15">
        <f>Слияние1[[#This Row],[Товарооборот, руб]] / SUM(Слияние1[Товарооборот, руб])</f>
        <v>7.4567576391426508E-4</v>
      </c>
    </row>
    <row r="228" spans="1:10" x14ac:dyDescent="0.3">
      <c r="A228" s="13">
        <v>43981</v>
      </c>
      <c r="B228" t="s">
        <v>13</v>
      </c>
      <c r="C228">
        <v>39867</v>
      </c>
      <c r="D228">
        <v>3654166.5</v>
      </c>
      <c r="E228">
        <v>20</v>
      </c>
      <c r="F228">
        <v>2451</v>
      </c>
      <c r="G228">
        <v>2178</v>
      </c>
      <c r="H228" cm="1">
        <f t="array" ref="H228">SUMPRODUCT((I228:I1226=22)*(D228:D1226))</f>
        <v>109854204</v>
      </c>
      <c r="I228">
        <f>WEEKNUM(Слияние1[[#This Row],[Дата]],2)</f>
        <v>22</v>
      </c>
      <c r="J228" s="15">
        <f>Слияние1[[#This Row],[Товарооборот, руб]] / SUM(Слияние1[Товарооборот, руб])</f>
        <v>7.3637686031185383E-4</v>
      </c>
    </row>
    <row r="229" spans="1:10" x14ac:dyDescent="0.3">
      <c r="A229" s="13">
        <v>43974</v>
      </c>
      <c r="B229" t="s">
        <v>10</v>
      </c>
      <c r="C229">
        <v>42703.5</v>
      </c>
      <c r="D229">
        <v>3628726.5</v>
      </c>
      <c r="E229">
        <v>21</v>
      </c>
      <c r="F229">
        <v>2340</v>
      </c>
      <c r="G229">
        <v>2146</v>
      </c>
      <c r="H229" cm="1">
        <f t="array" ref="H229">SUMPRODUCT((I229:I1227=22)*(D229:D1227))</f>
        <v>106200037.5</v>
      </c>
      <c r="I229">
        <f>WEEKNUM(Слияние1[[#This Row],[Дата]],2)</f>
        <v>21</v>
      </c>
      <c r="J229" s="15">
        <f>Слияние1[[#This Row],[Товарооборот, руб]] / SUM(Слияние1[Товарооборот, руб])</f>
        <v>7.3125026651096013E-4</v>
      </c>
    </row>
    <row r="230" spans="1:10" x14ac:dyDescent="0.3">
      <c r="A230" s="13">
        <v>43976</v>
      </c>
      <c r="B230" t="s">
        <v>17</v>
      </c>
      <c r="C230">
        <v>38740.5</v>
      </c>
      <c r="D230">
        <v>3561655.5</v>
      </c>
      <c r="E230">
        <v>21</v>
      </c>
      <c r="F230">
        <v>2330</v>
      </c>
      <c r="G230">
        <v>2142</v>
      </c>
      <c r="H230" cm="1">
        <f t="array" ref="H230">SUMPRODUCT((I230:I1228=22)*(D230:D1228))</f>
        <v>106200037.5</v>
      </c>
      <c r="I230">
        <f>WEEKNUM(Слияние1[[#This Row],[Дата]],2)</f>
        <v>22</v>
      </c>
      <c r="J230" s="15">
        <f>Слияние1[[#This Row],[Товарооборот, руб]] / SUM(Слияние1[Товарооборот, руб])</f>
        <v>7.1773431632150483E-4</v>
      </c>
    </row>
    <row r="231" spans="1:10" x14ac:dyDescent="0.3">
      <c r="A231" s="13">
        <v>43970</v>
      </c>
      <c r="B231" t="s">
        <v>17</v>
      </c>
      <c r="C231">
        <v>38250</v>
      </c>
      <c r="D231">
        <v>3552937.5</v>
      </c>
      <c r="E231">
        <v>21</v>
      </c>
      <c r="F231">
        <v>2245</v>
      </c>
      <c r="G231">
        <v>2053</v>
      </c>
      <c r="H231" cm="1">
        <f t="array" ref="H231">SUMPRODUCT((I231:I1229=22)*(D231:D1229))</f>
        <v>102638382</v>
      </c>
      <c r="I231">
        <f>WEEKNUM(Слияние1[[#This Row],[Дата]],2)</f>
        <v>21</v>
      </c>
      <c r="J231" s="15">
        <f>Слияние1[[#This Row],[Товарооборот, руб]] / SUM(Слияние1[Товарооборот, руб])</f>
        <v>7.1597749066284945E-4</v>
      </c>
    </row>
    <row r="232" spans="1:10" x14ac:dyDescent="0.3">
      <c r="A232" s="13">
        <v>43961</v>
      </c>
      <c r="B232" t="s">
        <v>17</v>
      </c>
      <c r="C232">
        <v>37489.5</v>
      </c>
      <c r="D232">
        <v>3549097.5</v>
      </c>
      <c r="E232">
        <v>21</v>
      </c>
      <c r="F232">
        <v>2120</v>
      </c>
      <c r="G232">
        <v>1921</v>
      </c>
      <c r="H232" cm="1">
        <f t="array" ref="H232">SUMPRODUCT((I232:I1230=22)*(D232:D1230))</f>
        <v>102638382</v>
      </c>
      <c r="I232">
        <f>WEEKNUM(Слияние1[[#This Row],[Дата]],2)</f>
        <v>19</v>
      </c>
      <c r="J232" s="15">
        <f>Слияние1[[#This Row],[Товарооборот, руб]] / SUM(Слияние1[Товарооборот, руб])</f>
        <v>7.1520366518346926E-4</v>
      </c>
    </row>
    <row r="233" spans="1:10" x14ac:dyDescent="0.3">
      <c r="A233" s="13">
        <v>43982</v>
      </c>
      <c r="B233" t="s">
        <v>10</v>
      </c>
      <c r="C233">
        <v>36999</v>
      </c>
      <c r="D233">
        <v>3473895</v>
      </c>
      <c r="E233">
        <v>21</v>
      </c>
      <c r="F233">
        <v>2271</v>
      </c>
      <c r="G233">
        <v>2085</v>
      </c>
      <c r="H233" cm="1">
        <f t="array" ref="H233">SUMPRODUCT((I233:I1231=22)*(D233:D1231))</f>
        <v>102638382</v>
      </c>
      <c r="I233">
        <f>WEEKNUM(Слияние1[[#This Row],[Дата]],2)</f>
        <v>22</v>
      </c>
      <c r="J233" s="15">
        <f>Слияние1[[#This Row],[Товарооборот, руб]] / SUM(Слияние1[Товарооборот, руб])</f>
        <v>7.0004907908631086E-4</v>
      </c>
    </row>
    <row r="234" spans="1:10" x14ac:dyDescent="0.3">
      <c r="A234" s="13">
        <v>43975</v>
      </c>
      <c r="B234" t="s">
        <v>17</v>
      </c>
      <c r="C234">
        <v>38194.5</v>
      </c>
      <c r="D234">
        <v>3449302.5</v>
      </c>
      <c r="E234">
        <v>21</v>
      </c>
      <c r="F234">
        <v>2254</v>
      </c>
      <c r="G234">
        <v>2061</v>
      </c>
      <c r="H234" cm="1">
        <f t="array" ref="H234">SUMPRODUCT((I234:I1232=22)*(D234:D1232))</f>
        <v>99164487</v>
      </c>
      <c r="I234">
        <f>WEEKNUM(Слияние1[[#This Row],[Дата]],2)</f>
        <v>21</v>
      </c>
      <c r="J234" s="15">
        <f>Слияние1[[#This Row],[Товарооборот, руб]] / SUM(Слияние1[Товарооборот, руб])</f>
        <v>6.9509327098692087E-4</v>
      </c>
    </row>
    <row r="235" spans="1:10" x14ac:dyDescent="0.3">
      <c r="A235" s="13">
        <v>43973</v>
      </c>
      <c r="B235" t="s">
        <v>13</v>
      </c>
      <c r="C235">
        <v>38074.5</v>
      </c>
      <c r="D235">
        <v>3414180</v>
      </c>
      <c r="E235">
        <v>20</v>
      </c>
      <c r="F235">
        <v>2306</v>
      </c>
      <c r="G235">
        <v>2054</v>
      </c>
      <c r="H235" cm="1">
        <f t="array" ref="H235">SUMPRODUCT((I235:I1233=22)*(D235:D1233))</f>
        <v>99164487</v>
      </c>
      <c r="I235">
        <f>WEEKNUM(Слияние1[[#This Row],[Дата]],2)</f>
        <v>21</v>
      </c>
      <c r="J235" s="15">
        <f>Слияние1[[#This Row],[Товарооборот, руб]] / SUM(Слияние1[Товарооборот, руб])</f>
        <v>6.8801548833079317E-4</v>
      </c>
    </row>
    <row r="236" spans="1:10" x14ac:dyDescent="0.3">
      <c r="A236" s="13">
        <v>43967</v>
      </c>
      <c r="B236" t="s">
        <v>10</v>
      </c>
      <c r="C236">
        <v>38947.5</v>
      </c>
      <c r="D236">
        <v>3395892</v>
      </c>
      <c r="E236">
        <v>21</v>
      </c>
      <c r="F236">
        <v>2145</v>
      </c>
      <c r="G236">
        <v>1947</v>
      </c>
      <c r="H236" cm="1">
        <f t="array" ref="H236">SUMPRODUCT((I236:I1234=22)*(D236:D1234))</f>
        <v>99164487</v>
      </c>
      <c r="I236">
        <f>WEEKNUM(Слияние1[[#This Row],[Дата]],2)</f>
        <v>20</v>
      </c>
      <c r="J236" s="15">
        <f>Слияние1[[#This Row],[Товарооборот, руб]] / SUM(Слияние1[Товарооборот, руб])</f>
        <v>6.8433014448524498E-4</v>
      </c>
    </row>
    <row r="237" spans="1:10" x14ac:dyDescent="0.3">
      <c r="A237" s="13">
        <v>43974</v>
      </c>
      <c r="B237" t="s">
        <v>13</v>
      </c>
      <c r="C237">
        <v>38176.5</v>
      </c>
      <c r="D237">
        <v>3385372.5</v>
      </c>
      <c r="E237">
        <v>20</v>
      </c>
      <c r="F237">
        <v>2266</v>
      </c>
      <c r="G237">
        <v>1993</v>
      </c>
      <c r="H237" cm="1">
        <f t="array" ref="H237">SUMPRODUCT((I237:I1235=22)*(D237:D1235))</f>
        <v>99164487</v>
      </c>
      <c r="I237">
        <f>WEEKNUM(Слияние1[[#This Row],[Дата]],2)</f>
        <v>21</v>
      </c>
      <c r="J237" s="15">
        <f>Слияние1[[#This Row],[Товарооборот, руб]] / SUM(Слияние1[Товарооборот, руб])</f>
        <v>6.822102858575523E-4</v>
      </c>
    </row>
    <row r="238" spans="1:10" x14ac:dyDescent="0.3">
      <c r="A238" s="13">
        <v>43969</v>
      </c>
      <c r="B238" t="s">
        <v>17</v>
      </c>
      <c r="C238">
        <v>36655.5</v>
      </c>
      <c r="D238">
        <v>3360135</v>
      </c>
      <c r="E238">
        <v>21</v>
      </c>
      <c r="F238">
        <v>2136</v>
      </c>
      <c r="G238">
        <v>1947</v>
      </c>
      <c r="H238" cm="1">
        <f t="array" ref="H238">SUMPRODUCT((I238:I1236=22)*(D238:D1236))</f>
        <v>99164487</v>
      </c>
      <c r="I238">
        <f>WEEKNUM(Слияние1[[#This Row],[Дата]],2)</f>
        <v>21</v>
      </c>
      <c r="J238" s="15">
        <f>Слияние1[[#This Row],[Товарооборот, руб]] / SUM(Слияние1[Товарооборот, руб])</f>
        <v>6.7712449925967275E-4</v>
      </c>
    </row>
    <row r="239" spans="1:10" x14ac:dyDescent="0.3">
      <c r="A239" s="13">
        <v>43961</v>
      </c>
      <c r="B239" t="s">
        <v>10</v>
      </c>
      <c r="C239">
        <v>36619.5</v>
      </c>
      <c r="D239">
        <v>3312967.5</v>
      </c>
      <c r="E239">
        <v>21</v>
      </c>
      <c r="F239">
        <v>2016</v>
      </c>
      <c r="G239">
        <v>1846</v>
      </c>
      <c r="H239" cm="1">
        <f t="array" ref="H239">SUMPRODUCT((I239:I1237=22)*(D239:D1237))</f>
        <v>99164487</v>
      </c>
      <c r="I239">
        <f>WEEKNUM(Слияние1[[#This Row],[Дата]],2)</f>
        <v>19</v>
      </c>
      <c r="J239" s="15">
        <f>Слияние1[[#This Row],[Товарооборот, руб]] / SUM(Слияние1[Товарооборот, руб])</f>
        <v>6.6761944371314548E-4</v>
      </c>
    </row>
    <row r="240" spans="1:10" x14ac:dyDescent="0.3">
      <c r="A240" s="13">
        <v>43964</v>
      </c>
      <c r="B240" t="s">
        <v>17</v>
      </c>
      <c r="C240">
        <v>35535</v>
      </c>
      <c r="D240">
        <v>3288069</v>
      </c>
      <c r="E240">
        <v>21</v>
      </c>
      <c r="F240">
        <v>2061</v>
      </c>
      <c r="G240">
        <v>1876</v>
      </c>
      <c r="H240" cm="1">
        <f t="array" ref="H240">SUMPRODUCT((I240:I1238=22)*(D240:D1238))</f>
        <v>99164487</v>
      </c>
      <c r="I240">
        <f>WEEKNUM(Слияние1[[#This Row],[Дата]],2)</f>
        <v>20</v>
      </c>
      <c r="J240" s="15">
        <f>Слияние1[[#This Row],[Товарооборот, руб]] / SUM(Слияние1[Товарооборот, руб])</f>
        <v>6.6260197139586747E-4</v>
      </c>
    </row>
    <row r="241" spans="1:10" x14ac:dyDescent="0.3">
      <c r="A241" s="13">
        <v>43980</v>
      </c>
      <c r="B241" t="s">
        <v>13</v>
      </c>
      <c r="C241">
        <v>35346</v>
      </c>
      <c r="D241">
        <v>3258054</v>
      </c>
      <c r="E241">
        <v>20</v>
      </c>
      <c r="F241">
        <v>2249</v>
      </c>
      <c r="G241">
        <v>2000</v>
      </c>
      <c r="H241" cm="1">
        <f t="array" ref="H241">SUMPRODUCT((I241:I1239=22)*(D241:D1239))</f>
        <v>99164487</v>
      </c>
      <c r="I241">
        <f>WEEKNUM(Слияние1[[#This Row],[Дата]],2)</f>
        <v>22</v>
      </c>
      <c r="J241" s="15">
        <f>Слияние1[[#This Row],[Товарооборот, руб]] / SUM(Слияние1[Товарооборот, руб])</f>
        <v>6.5655343708243095E-4</v>
      </c>
    </row>
    <row r="242" spans="1:10" x14ac:dyDescent="0.3">
      <c r="A242" s="13">
        <v>43967</v>
      </c>
      <c r="B242" t="s">
        <v>13</v>
      </c>
      <c r="C242">
        <v>35482.5</v>
      </c>
      <c r="D242">
        <v>3222517.5</v>
      </c>
      <c r="E242">
        <v>19</v>
      </c>
      <c r="F242">
        <v>2080</v>
      </c>
      <c r="G242">
        <v>1844</v>
      </c>
      <c r="H242" cm="1">
        <f t="array" ref="H242">SUMPRODUCT((I242:I1240=22)*(D242:D1240))</f>
        <v>95906433</v>
      </c>
      <c r="I242">
        <f>WEEKNUM(Слияние1[[#This Row],[Дата]],2)</f>
        <v>20</v>
      </c>
      <c r="J242" s="15">
        <f>Слияние1[[#This Row],[Товарооборот, руб]] / SUM(Слияние1[Товарооборот, руб])</f>
        <v>6.4939222636680751E-4</v>
      </c>
    </row>
    <row r="243" spans="1:10" x14ac:dyDescent="0.3">
      <c r="A243" s="13">
        <v>43959</v>
      </c>
      <c r="B243" t="s">
        <v>17</v>
      </c>
      <c r="C243">
        <v>34399.5</v>
      </c>
      <c r="D243">
        <v>3201358.5</v>
      </c>
      <c r="E243">
        <v>21</v>
      </c>
      <c r="F243">
        <v>1957</v>
      </c>
      <c r="G243">
        <v>1755</v>
      </c>
      <c r="H243" cm="1">
        <f t="array" ref="H243">SUMPRODUCT((I243:I1241=22)*(D243:D1241))</f>
        <v>95906433</v>
      </c>
      <c r="I243">
        <f>WEEKNUM(Слияние1[[#This Row],[Дата]],2)</f>
        <v>19</v>
      </c>
      <c r="J243" s="15">
        <f>Слияние1[[#This Row],[Товарооборот, руб]] / SUM(Слияние1[Товарооборот, руб])</f>
        <v>6.4512832706519147E-4</v>
      </c>
    </row>
    <row r="244" spans="1:10" x14ac:dyDescent="0.3">
      <c r="A244" s="13">
        <v>43980</v>
      </c>
      <c r="B244" t="s">
        <v>10</v>
      </c>
      <c r="C244">
        <v>35431.5</v>
      </c>
      <c r="D244">
        <v>3193167</v>
      </c>
      <c r="E244">
        <v>20</v>
      </c>
      <c r="F244">
        <v>2111</v>
      </c>
      <c r="G244">
        <v>1917</v>
      </c>
      <c r="H244" cm="1">
        <f t="array" ref="H244">SUMPRODUCT((I244:I1242=22)*(D244:D1242))</f>
        <v>95906433</v>
      </c>
      <c r="I244">
        <f>WEEKNUM(Слияние1[[#This Row],[Дата]],2)</f>
        <v>22</v>
      </c>
      <c r="J244" s="15">
        <f>Слияние1[[#This Row],[Товарооборот, руб]] / SUM(Слияние1[Товарооборот, руб])</f>
        <v>6.4347760013437302E-4</v>
      </c>
    </row>
    <row r="245" spans="1:10" x14ac:dyDescent="0.3">
      <c r="A245" s="13">
        <v>43968</v>
      </c>
      <c r="B245" t="s">
        <v>17</v>
      </c>
      <c r="C245">
        <v>34830</v>
      </c>
      <c r="D245">
        <v>3191155.5</v>
      </c>
      <c r="E245">
        <v>21</v>
      </c>
      <c r="F245">
        <v>2054</v>
      </c>
      <c r="G245">
        <v>1883</v>
      </c>
      <c r="H245" cm="1">
        <f t="array" ref="H245">SUMPRODUCT((I245:I1243=22)*(D245:D1243))</f>
        <v>92713266</v>
      </c>
      <c r="I245">
        <f>WEEKNUM(Слияние1[[#This Row],[Дата]],2)</f>
        <v>20</v>
      </c>
      <c r="J245" s="15">
        <f>Слияние1[[#This Row],[Товарооборот, руб]] / SUM(Слияние1[Товарооборот, руб])</f>
        <v>6.4307224858443208E-4</v>
      </c>
    </row>
    <row r="246" spans="1:10" x14ac:dyDescent="0.3">
      <c r="A246" s="13">
        <v>43976</v>
      </c>
      <c r="B246" t="s">
        <v>10</v>
      </c>
      <c r="C246">
        <v>35592</v>
      </c>
      <c r="D246">
        <v>3176580</v>
      </c>
      <c r="E246">
        <v>20</v>
      </c>
      <c r="F246">
        <v>2087</v>
      </c>
      <c r="G246">
        <v>1914</v>
      </c>
      <c r="H246" cm="1">
        <f t="array" ref="H246">SUMPRODUCT((I246:I1244=22)*(D246:D1244))</f>
        <v>92713266</v>
      </c>
      <c r="I246">
        <f>WEEKNUM(Слияние1[[#This Row],[Дата]],2)</f>
        <v>22</v>
      </c>
      <c r="J246" s="15">
        <f>Слияние1[[#This Row],[Товарооборот, руб]] / SUM(Слияние1[Товарооборот, руб])</f>
        <v>6.4013503679414413E-4</v>
      </c>
    </row>
    <row r="247" spans="1:10" x14ac:dyDescent="0.3">
      <c r="A247" s="13">
        <v>43952</v>
      </c>
      <c r="B247" t="s">
        <v>20</v>
      </c>
      <c r="C247">
        <v>35190</v>
      </c>
      <c r="D247">
        <v>3168510</v>
      </c>
      <c r="E247">
        <v>19</v>
      </c>
      <c r="F247">
        <v>1987</v>
      </c>
      <c r="G247">
        <v>1791</v>
      </c>
      <c r="H247" cm="1">
        <f t="array" ref="H247">SUMPRODUCT((I247:I1245=22)*(D247:D1245))</f>
        <v>89536686</v>
      </c>
      <c r="I247">
        <f>WEEKNUM(Слияние1[[#This Row],[Дата]],2)</f>
        <v>18</v>
      </c>
      <c r="J247" s="15">
        <f>Слияние1[[#This Row],[Товарооборот, руб]] / SUM(Слияние1[Товарооборот, руб])</f>
        <v>6.3850879418513419E-4</v>
      </c>
    </row>
    <row r="248" spans="1:10" x14ac:dyDescent="0.3">
      <c r="A248" s="13">
        <v>43965</v>
      </c>
      <c r="B248" t="s">
        <v>17</v>
      </c>
      <c r="C248">
        <v>33886.5</v>
      </c>
      <c r="D248">
        <v>3166479</v>
      </c>
      <c r="E248">
        <v>21</v>
      </c>
      <c r="F248">
        <v>1993</v>
      </c>
      <c r="G248">
        <v>1796</v>
      </c>
      <c r="H248" cm="1">
        <f t="array" ref="H248">SUMPRODUCT((I248:I1246=22)*(D248:D1246))</f>
        <v>89536686</v>
      </c>
      <c r="I248">
        <f>WEEKNUM(Слияние1[[#This Row],[Дата]],2)</f>
        <v>20</v>
      </c>
      <c r="J248" s="15">
        <f>Слияние1[[#This Row],[Товарооборот, руб]] / SUM(Слияние1[Товарооборот, руб])</f>
        <v>6.3809951305268079E-4</v>
      </c>
    </row>
    <row r="249" spans="1:10" x14ac:dyDescent="0.3">
      <c r="A249" s="13">
        <v>43973</v>
      </c>
      <c r="B249" t="s">
        <v>10</v>
      </c>
      <c r="C249">
        <v>36031.5</v>
      </c>
      <c r="D249">
        <v>3091069.5</v>
      </c>
      <c r="E249">
        <v>21</v>
      </c>
      <c r="F249">
        <v>2046</v>
      </c>
      <c r="G249">
        <v>1853</v>
      </c>
      <c r="H249" cm="1">
        <f t="array" ref="H249">SUMPRODUCT((I249:I1247=22)*(D249:D1247))</f>
        <v>89536686</v>
      </c>
      <c r="I249">
        <f>WEEKNUM(Слияние1[[#This Row],[Дата]],2)</f>
        <v>21</v>
      </c>
      <c r="J249" s="15">
        <f>Слияние1[[#This Row],[Товарооборот, руб]] / SUM(Слияние1[Товарооборот, руб])</f>
        <v>6.2290321292577441E-4</v>
      </c>
    </row>
    <row r="250" spans="1:10" x14ac:dyDescent="0.3">
      <c r="A250" s="13">
        <v>43974</v>
      </c>
      <c r="B250" t="s">
        <v>20</v>
      </c>
      <c r="C250">
        <v>36997.5</v>
      </c>
      <c r="D250">
        <v>3089140.5</v>
      </c>
      <c r="E250">
        <v>19</v>
      </c>
      <c r="F250">
        <v>2195</v>
      </c>
      <c r="G250">
        <v>1999</v>
      </c>
      <c r="H250" cm="1">
        <f t="array" ref="H250">SUMPRODUCT((I250:I1248=22)*(D250:D1248))</f>
        <v>89536686</v>
      </c>
      <c r="I250">
        <f>WEEKNUM(Слияние1[[#This Row],[Дата]],2)</f>
        <v>21</v>
      </c>
      <c r="J250" s="15">
        <f>Слияние1[[#This Row],[Товарооборот, руб]] / SUM(Слияние1[Товарооборот, руб])</f>
        <v>6.2251448653261705E-4</v>
      </c>
    </row>
    <row r="251" spans="1:10" x14ac:dyDescent="0.3">
      <c r="A251" s="13">
        <v>43960</v>
      </c>
      <c r="B251" t="s">
        <v>17</v>
      </c>
      <c r="C251">
        <v>32239.5</v>
      </c>
      <c r="D251">
        <v>3084892.5</v>
      </c>
      <c r="E251">
        <v>21</v>
      </c>
      <c r="F251">
        <v>1891</v>
      </c>
      <c r="G251">
        <v>1709</v>
      </c>
      <c r="H251" cm="1">
        <f t="array" ref="H251">SUMPRODUCT((I251:I1249=22)*(D251:D1249))</f>
        <v>89536686</v>
      </c>
      <c r="I251">
        <f>WEEKNUM(Слияние1[[#This Row],[Дата]],2)</f>
        <v>19</v>
      </c>
      <c r="J251" s="15">
        <f>Слияние1[[#This Row],[Товарооборот, руб]] / SUM(Слияние1[Товарооборот, руб])</f>
        <v>6.2165844209605267E-4</v>
      </c>
    </row>
    <row r="252" spans="1:10" x14ac:dyDescent="0.3">
      <c r="A252" s="13">
        <v>43963</v>
      </c>
      <c r="B252" t="s">
        <v>17</v>
      </c>
      <c r="C252">
        <v>32419.5</v>
      </c>
      <c r="D252">
        <v>3080614.5</v>
      </c>
      <c r="E252">
        <v>21</v>
      </c>
      <c r="F252">
        <v>1926</v>
      </c>
      <c r="G252">
        <v>1745</v>
      </c>
      <c r="H252" cm="1">
        <f t="array" ref="H252">SUMPRODUCT((I252:I1250=22)*(D252:D1250))</f>
        <v>89536686</v>
      </c>
      <c r="I252">
        <f>WEEKNUM(Слияние1[[#This Row],[Дата]],2)</f>
        <v>20</v>
      </c>
      <c r="J252" s="15">
        <f>Слияние1[[#This Row],[Товарооборот, руб]] / SUM(Слияние1[Товарооборот, руб])</f>
        <v>6.2079635214793078E-4</v>
      </c>
    </row>
    <row r="253" spans="1:10" x14ac:dyDescent="0.3">
      <c r="A253" s="13">
        <v>43962</v>
      </c>
      <c r="B253" t="s">
        <v>17</v>
      </c>
      <c r="C253">
        <v>32733</v>
      </c>
      <c r="D253">
        <v>3079630.5</v>
      </c>
      <c r="E253">
        <v>21</v>
      </c>
      <c r="F253">
        <v>1916</v>
      </c>
      <c r="G253">
        <v>1733</v>
      </c>
      <c r="H253" cm="1">
        <f t="array" ref="H253">SUMPRODUCT((I253:I1251=22)*(D253:D1251))</f>
        <v>89536686</v>
      </c>
      <c r="I253">
        <f>WEEKNUM(Слияние1[[#This Row],[Дата]],2)</f>
        <v>20</v>
      </c>
      <c r="J253" s="15">
        <f>Слияние1[[#This Row],[Товарооборот, руб]] / SUM(Слияние1[Товарооборот, руб])</f>
        <v>6.2059805936883958E-4</v>
      </c>
    </row>
    <row r="254" spans="1:10" x14ac:dyDescent="0.3">
      <c r="A254" s="13">
        <v>43966</v>
      </c>
      <c r="B254" t="s">
        <v>10</v>
      </c>
      <c r="C254">
        <v>34150.5</v>
      </c>
      <c r="D254">
        <v>3038293.5</v>
      </c>
      <c r="E254">
        <v>21</v>
      </c>
      <c r="F254">
        <v>1926</v>
      </c>
      <c r="G254">
        <v>1742</v>
      </c>
      <c r="H254" cm="1">
        <f t="array" ref="H254">SUMPRODUCT((I254:I1252=22)*(D254:D1252))</f>
        <v>89536686</v>
      </c>
      <c r="I254">
        <f>WEEKNUM(Слияние1[[#This Row],[Дата]],2)</f>
        <v>20</v>
      </c>
      <c r="J254" s="15">
        <f>Слияние1[[#This Row],[Товарооборот, руб]] / SUM(Слияние1[Товарооборот, руб])</f>
        <v>6.1226794899354303E-4</v>
      </c>
    </row>
    <row r="255" spans="1:10" x14ac:dyDescent="0.3">
      <c r="A255" s="13">
        <v>43952</v>
      </c>
      <c r="B255" t="s">
        <v>10</v>
      </c>
      <c r="C255">
        <v>32487</v>
      </c>
      <c r="D255">
        <v>3031254</v>
      </c>
      <c r="E255">
        <v>18</v>
      </c>
      <c r="F255">
        <v>1826</v>
      </c>
      <c r="G255">
        <v>1633</v>
      </c>
      <c r="H255" cm="1">
        <f t="array" ref="H255">SUMPRODUCT((I255:I1253=22)*(D255:D1253))</f>
        <v>89536686</v>
      </c>
      <c r="I255">
        <f>WEEKNUM(Слияние1[[#This Row],[Дата]],2)</f>
        <v>18</v>
      </c>
      <c r="J255" s="15">
        <f>Слияние1[[#This Row],[Товарооборот, руб]] / SUM(Слияние1[Товарооборот, руб])</f>
        <v>6.1084936970653861E-4</v>
      </c>
    </row>
    <row r="256" spans="1:10" x14ac:dyDescent="0.3">
      <c r="A256" s="13">
        <v>43978</v>
      </c>
      <c r="B256" t="s">
        <v>10</v>
      </c>
      <c r="C256">
        <v>32817</v>
      </c>
      <c r="D256">
        <v>3015751.5</v>
      </c>
      <c r="E256">
        <v>20</v>
      </c>
      <c r="F256">
        <v>2079</v>
      </c>
      <c r="G256">
        <v>1893</v>
      </c>
      <c r="H256" cm="1">
        <f t="array" ref="H256">SUMPRODUCT((I256:I1254=22)*(D256:D1254))</f>
        <v>89536686</v>
      </c>
      <c r="I256">
        <f>WEEKNUM(Слияние1[[#This Row],[Дата]],2)</f>
        <v>22</v>
      </c>
      <c r="J256" s="15">
        <f>Слияние1[[#This Row],[Товарооборот, руб]] / SUM(Слияние1[Товарооборот, руб])</f>
        <v>6.0772535160911903E-4</v>
      </c>
    </row>
    <row r="257" spans="1:10" x14ac:dyDescent="0.3">
      <c r="A257" s="13">
        <v>43983</v>
      </c>
      <c r="B257" t="s">
        <v>13</v>
      </c>
      <c r="C257">
        <v>32170.5</v>
      </c>
      <c r="D257">
        <v>3013512</v>
      </c>
      <c r="E257">
        <v>20</v>
      </c>
      <c r="F257">
        <v>2136</v>
      </c>
      <c r="G257">
        <v>1899</v>
      </c>
      <c r="H257" cm="1">
        <f t="array" ref="H257">SUMPRODUCT((I257:I1255=22)*(D257:D1255))</f>
        <v>86520934.5</v>
      </c>
      <c r="I257">
        <f>WEEKNUM(Слияние1[[#This Row],[Дата]],2)</f>
        <v>23</v>
      </c>
      <c r="J257" s="15">
        <f>Слияние1[[#This Row],[Товарооборот, руб]] / SUM(Слияние1[Товарооборот, руб])</f>
        <v>6.0727405417133982E-4</v>
      </c>
    </row>
    <row r="258" spans="1:10" x14ac:dyDescent="0.3">
      <c r="A258" s="13">
        <v>43981</v>
      </c>
      <c r="B258" t="s">
        <v>20</v>
      </c>
      <c r="C258">
        <v>34681.5</v>
      </c>
      <c r="D258">
        <v>3005334</v>
      </c>
      <c r="E258">
        <v>20</v>
      </c>
      <c r="F258">
        <v>2174</v>
      </c>
      <c r="G258">
        <v>1957</v>
      </c>
      <c r="H258" cm="1">
        <f t="array" ref="H258">SUMPRODUCT((I258:I1256=22)*(D258:D1256))</f>
        <v>86520934.5</v>
      </c>
      <c r="I258">
        <f>WEEKNUM(Слияние1[[#This Row],[Дата]],2)</f>
        <v>22</v>
      </c>
      <c r="J258" s="15">
        <f>Слияние1[[#This Row],[Товарооборот, руб]] / SUM(Слияние1[Товарооборот, руб])</f>
        <v>6.056260477207224E-4</v>
      </c>
    </row>
    <row r="259" spans="1:10" x14ac:dyDescent="0.3">
      <c r="A259" s="13">
        <v>43979</v>
      </c>
      <c r="B259" t="s">
        <v>13</v>
      </c>
      <c r="C259">
        <v>31974</v>
      </c>
      <c r="D259">
        <v>3004213.5</v>
      </c>
      <c r="E259">
        <v>20</v>
      </c>
      <c r="F259">
        <v>2088</v>
      </c>
      <c r="G259">
        <v>1848</v>
      </c>
      <c r="H259" cm="1">
        <f t="array" ref="H259">SUMPRODUCT((I259:I1257=22)*(D259:D1257))</f>
        <v>83515600.5</v>
      </c>
      <c r="I259">
        <f>WEEKNUM(Слияние1[[#This Row],[Дата]],2)</f>
        <v>22</v>
      </c>
      <c r="J259" s="15">
        <f>Слияние1[[#This Row],[Товарооборот, руб]] / SUM(Слияние1[Товарооборот, руб])</f>
        <v>6.0540024786404382E-4</v>
      </c>
    </row>
    <row r="260" spans="1:10" x14ac:dyDescent="0.3">
      <c r="A260" s="13">
        <v>43982</v>
      </c>
      <c r="B260" t="s">
        <v>13</v>
      </c>
      <c r="C260">
        <v>32359.5</v>
      </c>
      <c r="D260">
        <v>2991999</v>
      </c>
      <c r="E260">
        <v>20</v>
      </c>
      <c r="F260">
        <v>2060</v>
      </c>
      <c r="G260">
        <v>1826</v>
      </c>
      <c r="H260" cm="1">
        <f t="array" ref="H260">SUMPRODUCT((I260:I1258=22)*(D260:D1258))</f>
        <v>80511387</v>
      </c>
      <c r="I260">
        <f>WEEKNUM(Слияние1[[#This Row],[Дата]],2)</f>
        <v>22</v>
      </c>
      <c r="J260" s="15">
        <f>Слияние1[[#This Row],[Товарооборот, руб]] / SUM(Слияние1[Товарооборот, руб])</f>
        <v>6.0293881783334349E-4</v>
      </c>
    </row>
    <row r="261" spans="1:10" x14ac:dyDescent="0.3">
      <c r="A261" s="13">
        <v>43977</v>
      </c>
      <c r="B261" t="s">
        <v>10</v>
      </c>
      <c r="C261">
        <v>33423</v>
      </c>
      <c r="D261">
        <v>2970330</v>
      </c>
      <c r="E261">
        <v>20</v>
      </c>
      <c r="F261">
        <v>2044</v>
      </c>
      <c r="G261">
        <v>1863</v>
      </c>
      <c r="H261" cm="1">
        <f t="array" ref="H261">SUMPRODUCT((I261:I1259=22)*(D261:D1259))</f>
        <v>77519388</v>
      </c>
      <c r="I261">
        <f>WEEKNUM(Слияние1[[#This Row],[Дата]],2)</f>
        <v>22</v>
      </c>
      <c r="J261" s="15">
        <f>Слияние1[[#This Row],[Товарооборот, руб]] / SUM(Слияние1[Товарооборот, руб])</f>
        <v>5.9857214483524733E-4</v>
      </c>
    </row>
    <row r="262" spans="1:10" x14ac:dyDescent="0.3">
      <c r="A262" s="13">
        <v>43966</v>
      </c>
      <c r="B262" t="s">
        <v>13</v>
      </c>
      <c r="C262">
        <v>32854.5</v>
      </c>
      <c r="D262">
        <v>2949078</v>
      </c>
      <c r="E262">
        <v>19</v>
      </c>
      <c r="F262">
        <v>1940</v>
      </c>
      <c r="G262">
        <v>1715</v>
      </c>
      <c r="H262" cm="1">
        <f t="array" ref="H262">SUMPRODUCT((I262:I1260=22)*(D262:D1260))</f>
        <v>74549058</v>
      </c>
      <c r="I262">
        <f>WEEKNUM(Слияние1[[#This Row],[Дата]],2)</f>
        <v>20</v>
      </c>
      <c r="J262" s="15">
        <f>Слияние1[[#This Row],[Товарооборот, руб]] / SUM(Слияние1[Товарооборот, руб])</f>
        <v>5.9428950444780266E-4</v>
      </c>
    </row>
    <row r="263" spans="1:10" x14ac:dyDescent="0.3">
      <c r="A263" s="13">
        <v>43983</v>
      </c>
      <c r="B263" t="s">
        <v>10</v>
      </c>
      <c r="C263">
        <v>31947</v>
      </c>
      <c r="D263">
        <v>2945035.5</v>
      </c>
      <c r="E263">
        <v>21</v>
      </c>
      <c r="F263">
        <v>2025</v>
      </c>
      <c r="G263">
        <v>1849</v>
      </c>
      <c r="H263" cm="1">
        <f t="array" ref="H263">SUMPRODUCT((I263:I1261=22)*(D263:D1261))</f>
        <v>74549058</v>
      </c>
      <c r="I263">
        <f>WEEKNUM(Слияние1[[#This Row],[Дата]],2)</f>
        <v>23</v>
      </c>
      <c r="J263" s="15">
        <f>Слияние1[[#This Row],[Товарооборот, руб]] / SUM(Слияние1[Товарооборот, руб])</f>
        <v>5.9347487176540821E-4</v>
      </c>
    </row>
    <row r="264" spans="1:10" x14ac:dyDescent="0.3">
      <c r="A264" s="13">
        <v>43957</v>
      </c>
      <c r="B264" t="s">
        <v>10</v>
      </c>
      <c r="C264">
        <v>32511</v>
      </c>
      <c r="D264">
        <v>2938623</v>
      </c>
      <c r="E264">
        <v>20</v>
      </c>
      <c r="F264">
        <v>1784</v>
      </c>
      <c r="G264">
        <v>1632</v>
      </c>
      <c r="H264" cm="1">
        <f t="array" ref="H264">SUMPRODUCT((I264:I1262=22)*(D264:D1262))</f>
        <v>74549058</v>
      </c>
      <c r="I264">
        <f>WEEKNUM(Слияние1[[#This Row],[Дата]],2)</f>
        <v>19</v>
      </c>
      <c r="J264" s="15">
        <f>Слияние1[[#This Row],[Товарооборот, руб]] / SUM(Слияние1[Товарооборот, руб])</f>
        <v>5.9218264366995893E-4</v>
      </c>
    </row>
    <row r="265" spans="1:10" x14ac:dyDescent="0.3">
      <c r="A265" s="13">
        <v>43958</v>
      </c>
      <c r="B265" t="s">
        <v>17</v>
      </c>
      <c r="C265">
        <v>32851.5</v>
      </c>
      <c r="D265">
        <v>2934504</v>
      </c>
      <c r="E265">
        <v>21</v>
      </c>
      <c r="F265">
        <v>1879</v>
      </c>
      <c r="G265">
        <v>1695</v>
      </c>
      <c r="H265" cm="1">
        <f t="array" ref="H265">SUMPRODUCT((I265:I1263=22)*(D265:D1263))</f>
        <v>74549058</v>
      </c>
      <c r="I265">
        <f>WEEKNUM(Слияние1[[#This Row],[Дата]],2)</f>
        <v>19</v>
      </c>
      <c r="J265" s="15">
        <f>Слияние1[[#This Row],[Товарооборот, руб]] / SUM(Слияние1[Товарооборот, руб])</f>
        <v>5.9135259493309255E-4</v>
      </c>
    </row>
    <row r="266" spans="1:10" x14ac:dyDescent="0.3">
      <c r="A266" s="13">
        <v>43971</v>
      </c>
      <c r="B266" t="s">
        <v>10</v>
      </c>
      <c r="C266">
        <v>34077</v>
      </c>
      <c r="D266">
        <v>2929330.5</v>
      </c>
      <c r="E266">
        <v>21</v>
      </c>
      <c r="F266">
        <v>1921</v>
      </c>
      <c r="G266">
        <v>1767</v>
      </c>
      <c r="H266" cm="1">
        <f t="array" ref="H266">SUMPRODUCT((I266:I1264=22)*(D266:D1264))</f>
        <v>74549058</v>
      </c>
      <c r="I266">
        <f>WEEKNUM(Слияние1[[#This Row],[Дата]],2)</f>
        <v>21</v>
      </c>
      <c r="J266" s="15">
        <f>Слияние1[[#This Row],[Товарооборот, руб]] / SUM(Слияние1[Товарооборот, руб])</f>
        <v>5.9031004646497448E-4</v>
      </c>
    </row>
    <row r="267" spans="1:10" x14ac:dyDescent="0.3">
      <c r="A267" s="13">
        <v>43975</v>
      </c>
      <c r="B267" t="s">
        <v>10</v>
      </c>
      <c r="C267">
        <v>34303.5</v>
      </c>
      <c r="D267">
        <v>2924746.5</v>
      </c>
      <c r="E267">
        <v>20</v>
      </c>
      <c r="F267">
        <v>1999</v>
      </c>
      <c r="G267">
        <v>1829</v>
      </c>
      <c r="H267" cm="1">
        <f t="array" ref="H267">SUMPRODUCT((I267:I1265=22)*(D267:D1265))</f>
        <v>74549058</v>
      </c>
      <c r="I267">
        <f>WEEKNUM(Слияние1[[#This Row],[Дата]],2)</f>
        <v>21</v>
      </c>
      <c r="J267" s="15">
        <f>Слияние1[[#This Row],[Товарооборот, руб]] / SUM(Слияние1[Товарооборот, руб])</f>
        <v>5.8938629229896434E-4</v>
      </c>
    </row>
    <row r="268" spans="1:10" x14ac:dyDescent="0.3">
      <c r="A268" s="13">
        <v>43978</v>
      </c>
      <c r="B268" t="s">
        <v>13</v>
      </c>
      <c r="C268">
        <v>31257</v>
      </c>
      <c r="D268">
        <v>2924133</v>
      </c>
      <c r="E268">
        <v>20</v>
      </c>
      <c r="F268">
        <v>2079</v>
      </c>
      <c r="G268">
        <v>1856</v>
      </c>
      <c r="H268" cm="1">
        <f t="array" ref="H268">SUMPRODUCT((I268:I1266=22)*(D268:D1266))</f>
        <v>74549058</v>
      </c>
      <c r="I268">
        <f>WEEKNUM(Слияние1[[#This Row],[Дата]],2)</f>
        <v>22</v>
      </c>
      <c r="J268" s="15">
        <f>Слияние1[[#This Row],[Товарооборот, руб]] / SUM(Слияние1[Товарооборот, руб])</f>
        <v>5.8926266158761023E-4</v>
      </c>
    </row>
    <row r="269" spans="1:10" x14ac:dyDescent="0.3">
      <c r="A269" s="13">
        <v>43967</v>
      </c>
      <c r="B269" t="s">
        <v>20</v>
      </c>
      <c r="C269">
        <v>34563</v>
      </c>
      <c r="D269">
        <v>2922883.5</v>
      </c>
      <c r="E269">
        <v>19</v>
      </c>
      <c r="F269">
        <v>2039</v>
      </c>
      <c r="G269">
        <v>1868</v>
      </c>
      <c r="H269" cm="1">
        <f t="array" ref="H269">SUMPRODUCT((I269:I1267=22)*(D269:D1267))</f>
        <v>71624925</v>
      </c>
      <c r="I269">
        <f>WEEKNUM(Слияние1[[#This Row],[Дата]],2)</f>
        <v>20</v>
      </c>
      <c r="J269" s="15">
        <f>Слияние1[[#This Row],[Товарооборот, руб]] / SUM(Слияние1[Товарооборот, руб])</f>
        <v>5.8901086603123376E-4</v>
      </c>
    </row>
    <row r="270" spans="1:10" x14ac:dyDescent="0.3">
      <c r="A270" s="13">
        <v>43975</v>
      </c>
      <c r="B270" t="s">
        <v>13</v>
      </c>
      <c r="C270">
        <v>31854</v>
      </c>
      <c r="D270">
        <v>2915533.5</v>
      </c>
      <c r="E270">
        <v>20</v>
      </c>
      <c r="F270">
        <v>2015</v>
      </c>
      <c r="G270">
        <v>1803</v>
      </c>
      <c r="H270" cm="1">
        <f t="array" ref="H270">SUMPRODUCT((I270:I1268=22)*(D270:D1268))</f>
        <v>71624925</v>
      </c>
      <c r="I270">
        <f>WEEKNUM(Слияние1[[#This Row],[Дата]],2)</f>
        <v>21</v>
      </c>
      <c r="J270" s="15">
        <f>Слияние1[[#This Row],[Товарооборот, руб]] / SUM(Слияние1[Товарооборот, руб])</f>
        <v>5.875297156996077E-4</v>
      </c>
    </row>
    <row r="271" spans="1:10" x14ac:dyDescent="0.3">
      <c r="A271" s="13">
        <v>43977</v>
      </c>
      <c r="B271" t="s">
        <v>13</v>
      </c>
      <c r="C271">
        <v>31407</v>
      </c>
      <c r="D271">
        <v>2907411</v>
      </c>
      <c r="E271">
        <v>20</v>
      </c>
      <c r="F271">
        <v>2036</v>
      </c>
      <c r="G271">
        <v>1790</v>
      </c>
      <c r="H271" cm="1">
        <f t="array" ref="H271">SUMPRODUCT((I271:I1269=22)*(D271:D1269))</f>
        <v>71624925</v>
      </c>
      <c r="I271">
        <f>WEEKNUM(Слияние1[[#This Row],[Дата]],2)</f>
        <v>22</v>
      </c>
      <c r="J271" s="15">
        <f>Слияние1[[#This Row],[Товарооборот, руб]] / SUM(Слияние1[Товарооборот, руб])</f>
        <v>5.858928934453718E-4</v>
      </c>
    </row>
    <row r="272" spans="1:10" x14ac:dyDescent="0.3">
      <c r="A272" s="13">
        <v>43956</v>
      </c>
      <c r="B272" t="s">
        <v>10</v>
      </c>
      <c r="C272">
        <v>31566</v>
      </c>
      <c r="D272">
        <v>2906763</v>
      </c>
      <c r="E272">
        <v>20</v>
      </c>
      <c r="F272">
        <v>1773</v>
      </c>
      <c r="G272">
        <v>1604</v>
      </c>
      <c r="H272" cm="1">
        <f t="array" ref="H272">SUMPRODUCT((I272:I1270=22)*(D272:D1270))</f>
        <v>68717514</v>
      </c>
      <c r="I272">
        <f>WEEKNUM(Слияние1[[#This Row],[Дата]],2)</f>
        <v>19</v>
      </c>
      <c r="J272" s="15">
        <f>Слияние1[[#This Row],[Товарооборот, руб]] / SUM(Слияние1[Товарооборот, руб])</f>
        <v>5.8576231039572646E-4</v>
      </c>
    </row>
    <row r="273" spans="1:10" x14ac:dyDescent="0.3">
      <c r="A273" s="13">
        <v>43960</v>
      </c>
      <c r="B273" t="s">
        <v>13</v>
      </c>
      <c r="C273">
        <v>32079</v>
      </c>
      <c r="D273">
        <v>2902167</v>
      </c>
      <c r="E273">
        <v>19</v>
      </c>
      <c r="F273">
        <v>1851</v>
      </c>
      <c r="G273">
        <v>1635</v>
      </c>
      <c r="H273" cm="1">
        <f t="array" ref="H273">SUMPRODUCT((I273:I1271=22)*(D273:D1271))</f>
        <v>68717514</v>
      </c>
      <c r="I273">
        <f>WEEKNUM(Слияние1[[#This Row],[Дата]],2)</f>
        <v>19</v>
      </c>
      <c r="J273" s="15">
        <f>Слияние1[[#This Row],[Товарооборот, руб]] / SUM(Слияние1[Товарооборот, руб])</f>
        <v>5.8483613802509324E-4</v>
      </c>
    </row>
    <row r="274" spans="1:10" x14ac:dyDescent="0.3">
      <c r="A274" s="13">
        <v>43968</v>
      </c>
      <c r="B274" t="s">
        <v>10</v>
      </c>
      <c r="C274">
        <v>32023.5</v>
      </c>
      <c r="D274">
        <v>2882458.5</v>
      </c>
      <c r="E274">
        <v>21</v>
      </c>
      <c r="F274">
        <v>1874</v>
      </c>
      <c r="G274">
        <v>1705</v>
      </c>
      <c r="H274" cm="1">
        <f t="array" ref="H274">SUMPRODUCT((I274:I1272=22)*(D274:D1272))</f>
        <v>68717514</v>
      </c>
      <c r="I274">
        <f>WEEKNUM(Слияние1[[#This Row],[Дата]],2)</f>
        <v>20</v>
      </c>
      <c r="J274" s="15">
        <f>Слияние1[[#This Row],[Товарооборот, руб]] / SUM(Слияние1[Товарооборот, руб])</f>
        <v>5.8086453920728998E-4</v>
      </c>
    </row>
    <row r="275" spans="1:10" x14ac:dyDescent="0.3">
      <c r="A275" s="13">
        <v>43976</v>
      </c>
      <c r="B275" t="s">
        <v>13</v>
      </c>
      <c r="C275">
        <v>30603</v>
      </c>
      <c r="D275">
        <v>2865727.5</v>
      </c>
      <c r="E275">
        <v>20</v>
      </c>
      <c r="F275">
        <v>2011</v>
      </c>
      <c r="G275">
        <v>1791</v>
      </c>
      <c r="H275" cm="1">
        <f t="array" ref="H275">SUMPRODUCT((I275:I1273=22)*(D275:D1273))</f>
        <v>68717514</v>
      </c>
      <c r="I275">
        <f>WEEKNUM(Слияние1[[#This Row],[Дата]],2)</f>
        <v>22</v>
      </c>
      <c r="J275" s="15">
        <f>Слияние1[[#This Row],[Товарооборот, руб]] / SUM(Слияние1[Товарооборот, руб])</f>
        <v>5.7749295741158435E-4</v>
      </c>
    </row>
    <row r="276" spans="1:10" x14ac:dyDescent="0.3">
      <c r="A276" s="13">
        <v>43970</v>
      </c>
      <c r="B276" t="s">
        <v>13</v>
      </c>
      <c r="C276">
        <v>32434.5</v>
      </c>
      <c r="D276">
        <v>2865337.5</v>
      </c>
      <c r="E276">
        <v>19</v>
      </c>
      <c r="F276">
        <v>1999</v>
      </c>
      <c r="G276">
        <v>1799</v>
      </c>
      <c r="H276" cm="1">
        <f t="array" ref="H276">SUMPRODUCT((I276:I1274=22)*(D276:D1274))</f>
        <v>65851786.5</v>
      </c>
      <c r="I276">
        <f>WEEKNUM(Слияние1[[#This Row],[Дата]],2)</f>
        <v>21</v>
      </c>
      <c r="J276" s="15">
        <f>Слияние1[[#This Row],[Товарооборот, руб]] / SUM(Слияние1[Товарооборот, руб])</f>
        <v>5.7741436576133479E-4</v>
      </c>
    </row>
    <row r="277" spans="1:10" x14ac:dyDescent="0.3">
      <c r="A277" s="13">
        <v>43949</v>
      </c>
      <c r="B277" t="s">
        <v>17</v>
      </c>
      <c r="C277">
        <v>32181</v>
      </c>
      <c r="D277">
        <v>2863600.5</v>
      </c>
      <c r="E277">
        <v>19</v>
      </c>
      <c r="F277">
        <v>1846</v>
      </c>
      <c r="G277">
        <v>1681</v>
      </c>
      <c r="H277" cm="1">
        <f t="array" ref="H277">SUMPRODUCT((I277:I1275=22)*(D277:D1275))</f>
        <v>65851786.5</v>
      </c>
      <c r="I277">
        <f>WEEKNUM(Слияние1[[#This Row],[Дата]],2)</f>
        <v>18</v>
      </c>
      <c r="J277" s="15">
        <f>Слияние1[[#This Row],[Товарооборот, руб]] / SUM(Слияние1[Товарооборот, руб])</f>
        <v>5.7706433064214644E-4</v>
      </c>
    </row>
    <row r="278" spans="1:10" x14ac:dyDescent="0.3">
      <c r="A278" s="13">
        <v>43961</v>
      </c>
      <c r="B278" t="s">
        <v>13</v>
      </c>
      <c r="C278">
        <v>31399.5</v>
      </c>
      <c r="D278">
        <v>2862298.5</v>
      </c>
      <c r="E278">
        <v>19</v>
      </c>
      <c r="F278">
        <v>1848</v>
      </c>
      <c r="G278">
        <v>1649</v>
      </c>
      <c r="H278" cm="1">
        <f t="array" ref="H278">SUMPRODUCT((I278:I1276=22)*(D278:D1276))</f>
        <v>65851786.5</v>
      </c>
      <c r="I278">
        <f>WEEKNUM(Слияние1[[#This Row],[Дата]],2)</f>
        <v>19</v>
      </c>
      <c r="J278" s="15">
        <f>Слияние1[[#This Row],[Товарооборот, руб]] / SUM(Слияние1[Товарооборот, руб])</f>
        <v>5.7680195544054401E-4</v>
      </c>
    </row>
    <row r="279" spans="1:10" x14ac:dyDescent="0.3">
      <c r="A279" s="13">
        <v>43980</v>
      </c>
      <c r="B279" t="s">
        <v>20</v>
      </c>
      <c r="C279">
        <v>32782.5</v>
      </c>
      <c r="D279">
        <v>2854741.5</v>
      </c>
      <c r="E279">
        <v>20</v>
      </c>
      <c r="F279">
        <v>2064</v>
      </c>
      <c r="G279">
        <v>1896</v>
      </c>
      <c r="H279" cm="1">
        <f t="array" ref="H279">SUMPRODUCT((I279:I1277=22)*(D279:D1277))</f>
        <v>65851786.5</v>
      </c>
      <c r="I279">
        <f>WEEKNUM(Слияние1[[#This Row],[Дата]],2)</f>
        <v>22</v>
      </c>
      <c r="J279" s="15">
        <f>Слияние1[[#This Row],[Товарооборот, руб]] / SUM(Слияние1[Товарооборот, руб])</f>
        <v>5.7527909107917008E-4</v>
      </c>
    </row>
    <row r="280" spans="1:10" x14ac:dyDescent="0.3">
      <c r="A280" s="13">
        <v>43951</v>
      </c>
      <c r="B280" t="s">
        <v>17</v>
      </c>
      <c r="C280">
        <v>31231.5</v>
      </c>
      <c r="D280">
        <v>2853310.5</v>
      </c>
      <c r="E280">
        <v>20</v>
      </c>
      <c r="F280">
        <v>1756</v>
      </c>
      <c r="G280">
        <v>1586</v>
      </c>
      <c r="H280" cm="1">
        <f t="array" ref="H280">SUMPRODUCT((I280:I1278=22)*(D280:D1278))</f>
        <v>62997045</v>
      </c>
      <c r="I280">
        <f>WEEKNUM(Слияние1[[#This Row],[Дата]],2)</f>
        <v>18</v>
      </c>
      <c r="J280" s="15">
        <f>Слияние1[[#This Row],[Товарооборот, руб]] / SUM(Слияние1[Товарооборот, руб])</f>
        <v>5.7499072017786975E-4</v>
      </c>
    </row>
    <row r="281" spans="1:10" x14ac:dyDescent="0.3">
      <c r="A281" s="13">
        <v>43972</v>
      </c>
      <c r="B281" t="s">
        <v>13</v>
      </c>
      <c r="C281">
        <v>31707</v>
      </c>
      <c r="D281">
        <v>2853181.5</v>
      </c>
      <c r="E281">
        <v>19</v>
      </c>
      <c r="F281">
        <v>1949</v>
      </c>
      <c r="G281">
        <v>1724</v>
      </c>
      <c r="H281" cm="1">
        <f t="array" ref="H281">SUMPRODUCT((I281:I1279=22)*(D281:D1279))</f>
        <v>62997045</v>
      </c>
      <c r="I281">
        <f>WEEKNUM(Слияние1[[#This Row],[Дата]],2)</f>
        <v>21</v>
      </c>
      <c r="J281" s="15">
        <f>Слияние1[[#This Row],[Товарооборот, руб]] / SUM(Слияние1[Товарооборот, руб])</f>
        <v>5.7496472447817186E-4</v>
      </c>
    </row>
    <row r="282" spans="1:10" x14ac:dyDescent="0.3">
      <c r="A282" s="13">
        <v>43960</v>
      </c>
      <c r="B282" t="s">
        <v>10</v>
      </c>
      <c r="C282">
        <v>31147.5</v>
      </c>
      <c r="D282">
        <v>2831019</v>
      </c>
      <c r="E282">
        <v>21</v>
      </c>
      <c r="F282">
        <v>1735</v>
      </c>
      <c r="G282">
        <v>1568</v>
      </c>
      <c r="H282" cm="1">
        <f t="array" ref="H282">SUMPRODUCT((I282:I1280=22)*(D282:D1280))</f>
        <v>62997045</v>
      </c>
      <c r="I282">
        <f>WEEKNUM(Слияние1[[#This Row],[Дата]],2)</f>
        <v>19</v>
      </c>
      <c r="J282" s="15">
        <f>Слияние1[[#This Row],[Товарооборот, руб]] / SUM(Слияние1[Товарооборот, руб])</f>
        <v>5.7049860281495226E-4</v>
      </c>
    </row>
    <row r="283" spans="1:10" x14ac:dyDescent="0.3">
      <c r="A283" s="13">
        <v>43979</v>
      </c>
      <c r="B283" t="s">
        <v>10</v>
      </c>
      <c r="C283">
        <v>30982.5</v>
      </c>
      <c r="D283">
        <v>2827773</v>
      </c>
      <c r="E283">
        <v>20</v>
      </c>
      <c r="F283">
        <v>1886</v>
      </c>
      <c r="G283">
        <v>1736</v>
      </c>
      <c r="H283" cm="1">
        <f t="array" ref="H283">SUMPRODUCT((I283:I1281=22)*(D283:D1281))</f>
        <v>62997045</v>
      </c>
      <c r="I283">
        <f>WEEKNUM(Слияние1[[#This Row],[Дата]],2)</f>
        <v>22</v>
      </c>
      <c r="J283" s="15">
        <f>Слияние1[[#This Row],[Товарооборот, руб]] / SUM(Слияние1[Товарооборот, руб])</f>
        <v>5.6984447846441372E-4</v>
      </c>
    </row>
    <row r="284" spans="1:10" x14ac:dyDescent="0.3">
      <c r="A284" s="13">
        <v>43969</v>
      </c>
      <c r="B284" t="s">
        <v>10</v>
      </c>
      <c r="C284">
        <v>31329</v>
      </c>
      <c r="D284">
        <v>2826379.5</v>
      </c>
      <c r="E284">
        <v>21</v>
      </c>
      <c r="F284">
        <v>1834</v>
      </c>
      <c r="G284">
        <v>1660</v>
      </c>
      <c r="H284" cm="1">
        <f t="array" ref="H284">SUMPRODUCT((I284:I1282=22)*(D284:D1282))</f>
        <v>60169272</v>
      </c>
      <c r="I284">
        <f>WEEKNUM(Слияние1[[#This Row],[Дата]],2)</f>
        <v>21</v>
      </c>
      <c r="J284" s="15">
        <f>Слияние1[[#This Row],[Товарооборот, руб]] / SUM(Слияние1[Товарооборот, руб])</f>
        <v>5.695636644525605E-4</v>
      </c>
    </row>
    <row r="285" spans="1:10" x14ac:dyDescent="0.3">
      <c r="A285" s="13">
        <v>43955</v>
      </c>
      <c r="B285" t="s">
        <v>17</v>
      </c>
      <c r="C285">
        <v>30780</v>
      </c>
      <c r="D285">
        <v>2817853.5</v>
      </c>
      <c r="E285">
        <v>20</v>
      </c>
      <c r="F285">
        <v>1804</v>
      </c>
      <c r="G285">
        <v>1638</v>
      </c>
      <c r="H285" cm="1">
        <f t="array" ref="H285">SUMPRODUCT((I285:I1283=22)*(D285:D1283))</f>
        <v>60169272</v>
      </c>
      <c r="I285">
        <f>WEEKNUM(Слияние1[[#This Row],[Дата]],2)</f>
        <v>19</v>
      </c>
      <c r="J285" s="15">
        <f>Слияние1[[#This Row],[Товарооборот, руб]] / SUM(Слияние1[Товарооборот, руб])</f>
        <v>5.6784553006787412E-4</v>
      </c>
    </row>
    <row r="286" spans="1:10" x14ac:dyDescent="0.3">
      <c r="A286" s="13">
        <v>43951</v>
      </c>
      <c r="B286" t="s">
        <v>10</v>
      </c>
      <c r="C286">
        <v>30445.5</v>
      </c>
      <c r="D286">
        <v>2817196.5</v>
      </c>
      <c r="E286">
        <v>19</v>
      </c>
      <c r="F286">
        <v>1712</v>
      </c>
      <c r="G286">
        <v>1552</v>
      </c>
      <c r="H286" cm="1">
        <f t="array" ref="H286">SUMPRODUCT((I286:I1284=22)*(D286:D1284))</f>
        <v>60169272</v>
      </c>
      <c r="I286">
        <f>WEEKNUM(Слияние1[[#This Row],[Дата]],2)</f>
        <v>18</v>
      </c>
      <c r="J286" s="15">
        <f>Слияние1[[#This Row],[Товарооборот, руб]] / SUM(Слияние1[Товарооборот, руб])</f>
        <v>5.6771313336476147E-4</v>
      </c>
    </row>
    <row r="287" spans="1:10" x14ac:dyDescent="0.3">
      <c r="A287" s="13">
        <v>43982</v>
      </c>
      <c r="B287" t="s">
        <v>20</v>
      </c>
      <c r="C287">
        <v>31372.5</v>
      </c>
      <c r="D287">
        <v>2794324.5</v>
      </c>
      <c r="E287">
        <v>21</v>
      </c>
      <c r="F287">
        <v>2056</v>
      </c>
      <c r="G287">
        <v>1879</v>
      </c>
      <c r="H287" cm="1">
        <f t="array" ref="H287">SUMPRODUCT((I287:I1285=22)*(D287:D1285))</f>
        <v>60169272</v>
      </c>
      <c r="I287">
        <f>WEEKNUM(Слияние1[[#This Row],[Дата]],2)</f>
        <v>22</v>
      </c>
      <c r="J287" s="15">
        <f>Слияние1[[#This Row],[Товарооборот, руб]] / SUM(Слияние1[Товарооборот, руб])</f>
        <v>5.6310403535320326E-4</v>
      </c>
    </row>
    <row r="288" spans="1:10" x14ac:dyDescent="0.3">
      <c r="A288" s="13">
        <v>43970</v>
      </c>
      <c r="B288" t="s">
        <v>10</v>
      </c>
      <c r="C288">
        <v>31842</v>
      </c>
      <c r="D288">
        <v>2771116.5</v>
      </c>
      <c r="E288">
        <v>21</v>
      </c>
      <c r="F288">
        <v>1860</v>
      </c>
      <c r="G288">
        <v>1704</v>
      </c>
      <c r="H288" cm="1">
        <f t="array" ref="H288">SUMPRODUCT((I288:I1286=22)*(D288:D1286))</f>
        <v>57374947.5</v>
      </c>
      <c r="I288">
        <f>WEEKNUM(Слияние1[[#This Row],[Дата]],2)</f>
        <v>21</v>
      </c>
      <c r="J288" s="15">
        <f>Слияние1[[#This Row],[Товарооборот, руб]] / SUM(Слияние1[Товарооборот, руб])</f>
        <v>5.5842722761219917E-4</v>
      </c>
    </row>
    <row r="289" spans="1:10" x14ac:dyDescent="0.3">
      <c r="A289" s="13">
        <v>43961</v>
      </c>
      <c r="B289" t="s">
        <v>20</v>
      </c>
      <c r="C289">
        <v>31224</v>
      </c>
      <c r="D289">
        <v>2767270.5</v>
      </c>
      <c r="E289">
        <v>19</v>
      </c>
      <c r="F289">
        <v>1836</v>
      </c>
      <c r="G289">
        <v>1680</v>
      </c>
      <c r="H289" cm="1">
        <f t="array" ref="H289">SUMPRODUCT((I289:I1287=22)*(D289:D1287))</f>
        <v>57374947.5</v>
      </c>
      <c r="I289">
        <f>WEEKNUM(Слияние1[[#This Row],[Дата]],2)</f>
        <v>19</v>
      </c>
      <c r="J289" s="15">
        <f>Слияние1[[#This Row],[Товарооборот, руб]] / SUM(Слияние1[Товарооборот, руб])</f>
        <v>5.5765219303050755E-4</v>
      </c>
    </row>
    <row r="290" spans="1:10" x14ac:dyDescent="0.3">
      <c r="A290" s="13">
        <v>43972</v>
      </c>
      <c r="B290" t="s">
        <v>10</v>
      </c>
      <c r="C290">
        <v>31272</v>
      </c>
      <c r="D290">
        <v>2744382</v>
      </c>
      <c r="E290">
        <v>21</v>
      </c>
      <c r="F290">
        <v>1787</v>
      </c>
      <c r="G290">
        <v>1626</v>
      </c>
      <c r="H290" cm="1">
        <f t="array" ref="H290">SUMPRODUCT((I290:I1288=22)*(D290:D1288))</f>
        <v>57374947.5</v>
      </c>
      <c r="I290">
        <f>WEEKNUM(Слияние1[[#This Row],[Дата]],2)</f>
        <v>21</v>
      </c>
      <c r="J290" s="15">
        <f>Слияние1[[#This Row],[Товарооборот, руб]] / SUM(Слияние1[Товарооборот, руб])</f>
        <v>5.5303976998759253E-4</v>
      </c>
    </row>
    <row r="291" spans="1:10" x14ac:dyDescent="0.3">
      <c r="A291" s="13">
        <v>43957</v>
      </c>
      <c r="B291" t="s">
        <v>17</v>
      </c>
      <c r="C291">
        <v>30342</v>
      </c>
      <c r="D291">
        <v>2738127</v>
      </c>
      <c r="E291">
        <v>20</v>
      </c>
      <c r="F291">
        <v>1747</v>
      </c>
      <c r="G291">
        <v>1570</v>
      </c>
      <c r="H291" cm="1">
        <f t="array" ref="H291">SUMPRODUCT((I291:I1289=22)*(D291:D1289))</f>
        <v>57374947.5</v>
      </c>
      <c r="I291">
        <f>WEEKNUM(Слияние1[[#This Row],[Дата]],2)</f>
        <v>19</v>
      </c>
      <c r="J291" s="15">
        <f>Слияние1[[#This Row],[Товарооборот, руб]] / SUM(Слияние1[Товарооборот, руб])</f>
        <v>5.5177928082782092E-4</v>
      </c>
    </row>
    <row r="292" spans="1:10" x14ac:dyDescent="0.3">
      <c r="A292" s="13">
        <v>43954</v>
      </c>
      <c r="B292" t="s">
        <v>17</v>
      </c>
      <c r="C292">
        <v>29935.5</v>
      </c>
      <c r="D292">
        <v>2720002.5</v>
      </c>
      <c r="E292">
        <v>20</v>
      </c>
      <c r="F292">
        <v>1716</v>
      </c>
      <c r="G292">
        <v>1561</v>
      </c>
      <c r="H292" cm="1">
        <f t="array" ref="H292">SUMPRODUCT((I292:I1290=22)*(D292:D1290))</f>
        <v>57374947.5</v>
      </c>
      <c r="I292">
        <f>WEEKNUM(Слияние1[[#This Row],[Дата]],2)</f>
        <v>18</v>
      </c>
      <c r="J292" s="15">
        <f>Слияние1[[#This Row],[Товарооборот, руб]] / SUM(Слияние1[Товарооборот, руб])</f>
        <v>5.4812688502026206E-4</v>
      </c>
    </row>
    <row r="293" spans="1:10" x14ac:dyDescent="0.3">
      <c r="A293" s="13">
        <v>43953</v>
      </c>
      <c r="B293" t="s">
        <v>10</v>
      </c>
      <c r="C293">
        <v>29031</v>
      </c>
      <c r="D293">
        <v>2711247</v>
      </c>
      <c r="E293">
        <v>18</v>
      </c>
      <c r="F293">
        <v>1708</v>
      </c>
      <c r="G293">
        <v>1534</v>
      </c>
      <c r="H293" cm="1">
        <f t="array" ref="H293">SUMPRODUCT((I293:I1291=22)*(D293:D1291))</f>
        <v>57374947.5</v>
      </c>
      <c r="I293">
        <f>WEEKNUM(Слияние1[[#This Row],[Дата]],2)</f>
        <v>18</v>
      </c>
      <c r="J293" s="15">
        <f>Слияние1[[#This Row],[Товарооборот, руб]] / SUM(Слияние1[Товарооборот, руб])</f>
        <v>5.4636250247215958E-4</v>
      </c>
    </row>
    <row r="294" spans="1:10" x14ac:dyDescent="0.3">
      <c r="A294" s="13">
        <v>43965</v>
      </c>
      <c r="B294" t="s">
        <v>10</v>
      </c>
      <c r="C294">
        <v>29658</v>
      </c>
      <c r="D294">
        <v>2703132</v>
      </c>
      <c r="E294">
        <v>21</v>
      </c>
      <c r="F294">
        <v>1706</v>
      </c>
      <c r="G294">
        <v>1548</v>
      </c>
      <c r="H294" cm="1">
        <f t="array" ref="H294">SUMPRODUCT((I294:I1292=22)*(D294:D1292))</f>
        <v>57374947.5</v>
      </c>
      <c r="I294">
        <f>WEEKNUM(Слияние1[[#This Row],[Дата]],2)</f>
        <v>20</v>
      </c>
      <c r="J294" s="15">
        <f>Слияние1[[#This Row],[Товарооборот, руб]] / SUM(Слияние1[Товарооборот, руб])</f>
        <v>5.4472719159581317E-4</v>
      </c>
    </row>
    <row r="295" spans="1:10" x14ac:dyDescent="0.3">
      <c r="A295" s="13">
        <v>43968</v>
      </c>
      <c r="B295" t="s">
        <v>13</v>
      </c>
      <c r="C295">
        <v>30486</v>
      </c>
      <c r="D295">
        <v>2694289.5</v>
      </c>
      <c r="E295">
        <v>19</v>
      </c>
      <c r="F295">
        <v>1871</v>
      </c>
      <c r="G295">
        <v>1660</v>
      </c>
      <c r="H295" cm="1">
        <f t="array" ref="H295">SUMPRODUCT((I295:I1293=22)*(D295:D1293))</f>
        <v>57374947.5</v>
      </c>
      <c r="I295">
        <f>WEEKNUM(Слияние1[[#This Row],[Дата]],2)</f>
        <v>20</v>
      </c>
      <c r="J295" s="15">
        <f>Слияние1[[#This Row],[Товарооборот, руб]] / SUM(Слияние1[Товарооборот, руб])</f>
        <v>5.4294527706419361E-4</v>
      </c>
    </row>
    <row r="296" spans="1:10" x14ac:dyDescent="0.3">
      <c r="A296" s="13">
        <v>43971</v>
      </c>
      <c r="B296" t="s">
        <v>13</v>
      </c>
      <c r="C296">
        <v>29955</v>
      </c>
      <c r="D296">
        <v>2692230</v>
      </c>
      <c r="E296">
        <v>19</v>
      </c>
      <c r="F296">
        <v>1889</v>
      </c>
      <c r="G296">
        <v>1690</v>
      </c>
      <c r="H296" cm="1">
        <f t="array" ref="H296">SUMPRODUCT((I296:I1294=22)*(D296:D1294))</f>
        <v>57374947.5</v>
      </c>
      <c r="I296">
        <f>WEEKNUM(Слияние1[[#This Row],[Дата]],2)</f>
        <v>21</v>
      </c>
      <c r="J296" s="15">
        <f>Слияние1[[#This Row],[Товарооборот, руб]] / SUM(Слияние1[Товарооборот, руб])</f>
        <v>5.4253025269576042E-4</v>
      </c>
    </row>
    <row r="297" spans="1:10" x14ac:dyDescent="0.3">
      <c r="A297" s="13">
        <v>43956</v>
      </c>
      <c r="B297" t="s">
        <v>17</v>
      </c>
      <c r="C297">
        <v>29482.5</v>
      </c>
      <c r="D297">
        <v>2648688</v>
      </c>
      <c r="E297">
        <v>20</v>
      </c>
      <c r="F297">
        <v>1757</v>
      </c>
      <c r="G297">
        <v>1596</v>
      </c>
      <c r="H297" cm="1">
        <f t="array" ref="H297">SUMPRODUCT((I297:I1295=22)*(D297:D1295))</f>
        <v>57374947.5</v>
      </c>
      <c r="I297">
        <f>WEEKNUM(Слияние1[[#This Row],[Дата]],2)</f>
        <v>19</v>
      </c>
      <c r="J297" s="15">
        <f>Слияние1[[#This Row],[Товарооборот, руб]] / SUM(Слияние1[Товарооборот, руб])</f>
        <v>5.3375579722097599E-4</v>
      </c>
    </row>
    <row r="298" spans="1:10" x14ac:dyDescent="0.3">
      <c r="A298" s="13">
        <v>43959</v>
      </c>
      <c r="B298" t="s">
        <v>10</v>
      </c>
      <c r="C298">
        <v>29409</v>
      </c>
      <c r="D298">
        <v>2645160</v>
      </c>
      <c r="E298">
        <v>21</v>
      </c>
      <c r="F298">
        <v>1646</v>
      </c>
      <c r="G298">
        <v>1492</v>
      </c>
      <c r="H298" cm="1">
        <f t="array" ref="H298">SUMPRODUCT((I298:I1296=22)*(D298:D1296))</f>
        <v>57374947.5</v>
      </c>
      <c r="I298">
        <f>WEEKNUM(Слияние1[[#This Row],[Дата]],2)</f>
        <v>19</v>
      </c>
      <c r="J298" s="15">
        <f>Слияние1[[#This Row],[Товарооборот, руб]] / SUM(Слияние1[Товарооборот, руб])</f>
        <v>5.3304484506179548E-4</v>
      </c>
    </row>
    <row r="299" spans="1:10" x14ac:dyDescent="0.3">
      <c r="A299" s="13">
        <v>43964</v>
      </c>
      <c r="B299" t="s">
        <v>10</v>
      </c>
      <c r="C299">
        <v>29241</v>
      </c>
      <c r="D299">
        <v>2629782</v>
      </c>
      <c r="E299">
        <v>21</v>
      </c>
      <c r="F299">
        <v>1698</v>
      </c>
      <c r="G299">
        <v>1554</v>
      </c>
      <c r="H299" cm="1">
        <f t="array" ref="H299">SUMPRODUCT((I299:I1297=22)*(D299:D1297))</f>
        <v>57374947.5</v>
      </c>
      <c r="I299">
        <f>WEEKNUM(Слияние1[[#This Row],[Дата]],2)</f>
        <v>20</v>
      </c>
      <c r="J299" s="15">
        <f>Слияние1[[#This Row],[Товарооборот, руб]] / SUM(Слияние1[Товарооборот, руб])</f>
        <v>5.2994591583734008E-4</v>
      </c>
    </row>
    <row r="300" spans="1:10" x14ac:dyDescent="0.3">
      <c r="A300" s="13">
        <v>43950</v>
      </c>
      <c r="B300" t="s">
        <v>17</v>
      </c>
      <c r="C300">
        <v>29142</v>
      </c>
      <c r="D300">
        <v>2627595</v>
      </c>
      <c r="E300">
        <v>19</v>
      </c>
      <c r="F300">
        <v>1676</v>
      </c>
      <c r="G300">
        <v>1516</v>
      </c>
      <c r="H300" cm="1">
        <f t="array" ref="H300">SUMPRODUCT((I300:I1298=22)*(D300:D1298))</f>
        <v>57374947.5</v>
      </c>
      <c r="I300">
        <f>WEEKNUM(Слияние1[[#This Row],[Дата]],2)</f>
        <v>18</v>
      </c>
      <c r="J300" s="15">
        <f>Слияние1[[#This Row],[Товарооборот, руб]] / SUM(Слияние1[Товарооборот, руб])</f>
        <v>5.2950519804478683E-4</v>
      </c>
    </row>
    <row r="301" spans="1:10" x14ac:dyDescent="0.3">
      <c r="A301" s="13">
        <v>43950</v>
      </c>
      <c r="B301" t="s">
        <v>10</v>
      </c>
      <c r="C301">
        <v>29319</v>
      </c>
      <c r="D301">
        <v>2623480.5</v>
      </c>
      <c r="E301">
        <v>18</v>
      </c>
      <c r="F301">
        <v>1684</v>
      </c>
      <c r="G301">
        <v>1528</v>
      </c>
      <c r="H301" cm="1">
        <f t="array" ref="H301">SUMPRODUCT((I301:I1299=22)*(D301:D1299))</f>
        <v>57374947.5</v>
      </c>
      <c r="I301">
        <f>WEEKNUM(Слияние1[[#This Row],[Дата]],2)</f>
        <v>18</v>
      </c>
      <c r="J301" s="15">
        <f>Слияние1[[#This Row],[Товарооборот, руб]] / SUM(Слияние1[Товарооборот, руб])</f>
        <v>5.2867605613465406E-4</v>
      </c>
    </row>
    <row r="302" spans="1:10" x14ac:dyDescent="0.3">
      <c r="A302" s="13">
        <v>43963</v>
      </c>
      <c r="B302" t="s">
        <v>10</v>
      </c>
      <c r="C302">
        <v>28219.5</v>
      </c>
      <c r="D302">
        <v>2595778.5</v>
      </c>
      <c r="E302">
        <v>21</v>
      </c>
      <c r="F302">
        <v>1656</v>
      </c>
      <c r="G302">
        <v>1516</v>
      </c>
      <c r="H302" cm="1">
        <f t="array" ref="H302">SUMPRODUCT((I302:I1300=22)*(D302:D1300))</f>
        <v>57374947.5</v>
      </c>
      <c r="I302">
        <f>WEEKNUM(Слияние1[[#This Row],[Дата]],2)</f>
        <v>20</v>
      </c>
      <c r="J302" s="15">
        <f>Слияние1[[#This Row],[Товарооборот, руб]] / SUM(Слияние1[Товарооборот, руб])</f>
        <v>5.2309363076231301E-4</v>
      </c>
    </row>
    <row r="303" spans="1:10" x14ac:dyDescent="0.3">
      <c r="A303" s="13">
        <v>43969</v>
      </c>
      <c r="B303" t="s">
        <v>13</v>
      </c>
      <c r="C303">
        <v>28668</v>
      </c>
      <c r="D303">
        <v>2588148</v>
      </c>
      <c r="E303">
        <v>19</v>
      </c>
      <c r="F303">
        <v>1858</v>
      </c>
      <c r="G303">
        <v>1648</v>
      </c>
      <c r="H303" cm="1">
        <f t="array" ref="H303">SUMPRODUCT((I303:I1301=22)*(D303:D1301))</f>
        <v>57374947.5</v>
      </c>
      <c r="I303">
        <f>WEEKNUM(Слияние1[[#This Row],[Дата]],2)</f>
        <v>21</v>
      </c>
      <c r="J303" s="15">
        <f>Слияние1[[#This Row],[Товарооборот, руб]] / SUM(Слияние1[Товарооборот, руб])</f>
        <v>5.2155595489762271E-4</v>
      </c>
    </row>
    <row r="304" spans="1:10" x14ac:dyDescent="0.3">
      <c r="A304" s="13">
        <v>43951</v>
      </c>
      <c r="B304" t="s">
        <v>20</v>
      </c>
      <c r="C304">
        <v>27883.5</v>
      </c>
      <c r="D304">
        <v>2560080</v>
      </c>
      <c r="E304">
        <v>19</v>
      </c>
      <c r="F304">
        <v>1662</v>
      </c>
      <c r="G304">
        <v>1506</v>
      </c>
      <c r="H304" cm="1">
        <f t="array" ref="H304">SUMPRODUCT((I304:I1302=22)*(D304:D1302))</f>
        <v>57374947.5</v>
      </c>
      <c r="I304">
        <f>WEEKNUM(Слияние1[[#This Row],[Дата]],2)</f>
        <v>18</v>
      </c>
      <c r="J304" s="15">
        <f>Слияние1[[#This Row],[Товарооборот, руб]] / SUM(Слияние1[Товарооборот, руб])</f>
        <v>5.1589977428427819E-4</v>
      </c>
    </row>
    <row r="305" spans="1:10" x14ac:dyDescent="0.3">
      <c r="A305" s="13">
        <v>43979</v>
      </c>
      <c r="B305" t="s">
        <v>20</v>
      </c>
      <c r="C305">
        <v>28197</v>
      </c>
      <c r="D305">
        <v>2559211.5</v>
      </c>
      <c r="E305">
        <v>20</v>
      </c>
      <c r="F305">
        <v>1875</v>
      </c>
      <c r="G305">
        <v>1701</v>
      </c>
      <c r="H305" cm="1">
        <f t="array" ref="H305">SUMPRODUCT((I305:I1303=22)*(D305:D1303))</f>
        <v>57374947.5</v>
      </c>
      <c r="I305">
        <f>WEEKNUM(Слияние1[[#This Row],[Дата]],2)</f>
        <v>22</v>
      </c>
      <c r="J305" s="15">
        <f>Слияние1[[#This Row],[Товарооборот, руб]] / SUM(Слияние1[Товарооборот, руб])</f>
        <v>5.1572475672468396E-4</v>
      </c>
    </row>
    <row r="306" spans="1:10" x14ac:dyDescent="0.3">
      <c r="A306" s="13">
        <v>43973</v>
      </c>
      <c r="B306" t="s">
        <v>20</v>
      </c>
      <c r="C306">
        <v>30781.5</v>
      </c>
      <c r="D306">
        <v>2540715</v>
      </c>
      <c r="E306">
        <v>19</v>
      </c>
      <c r="F306">
        <v>1859</v>
      </c>
      <c r="G306">
        <v>1697</v>
      </c>
      <c r="H306" cm="1">
        <f t="array" ref="H306">SUMPRODUCT((I306:I1304=22)*(D306:D1304))</f>
        <v>54815736</v>
      </c>
      <c r="I306">
        <f>WEEKNUM(Слияние1[[#This Row],[Дата]],2)</f>
        <v>21</v>
      </c>
      <c r="J306" s="15">
        <f>Слияние1[[#This Row],[Товарооборот, руб]] / SUM(Слияние1[Товарооборот, руб])</f>
        <v>5.1199739657381018E-4</v>
      </c>
    </row>
    <row r="307" spans="1:10" x14ac:dyDescent="0.3">
      <c r="A307" s="13">
        <v>43983</v>
      </c>
      <c r="B307" t="s">
        <v>20</v>
      </c>
      <c r="C307">
        <v>27960</v>
      </c>
      <c r="D307">
        <v>2538967.5</v>
      </c>
      <c r="E307">
        <v>21</v>
      </c>
      <c r="F307">
        <v>1879</v>
      </c>
      <c r="G307">
        <v>1720</v>
      </c>
      <c r="H307" cm="1">
        <f t="array" ref="H307">SUMPRODUCT((I307:I1305=22)*(D307:D1305))</f>
        <v>54815736</v>
      </c>
      <c r="I307">
        <f>WEEKNUM(Слияние1[[#This Row],[Дата]],2)</f>
        <v>23</v>
      </c>
      <c r="J307" s="15">
        <f>Слияние1[[#This Row],[Товарооборот, руб]] / SUM(Слияние1[Товарооборот, руб])</f>
        <v>5.1164524552557657E-4</v>
      </c>
    </row>
    <row r="308" spans="1:10" x14ac:dyDescent="0.3">
      <c r="A308" s="13">
        <v>43975</v>
      </c>
      <c r="B308" t="s">
        <v>20</v>
      </c>
      <c r="C308">
        <v>29824.5</v>
      </c>
      <c r="D308">
        <v>2526909</v>
      </c>
      <c r="E308">
        <v>19</v>
      </c>
      <c r="F308">
        <v>1868</v>
      </c>
      <c r="G308">
        <v>1706</v>
      </c>
      <c r="H308" cm="1">
        <f t="array" ref="H308">SUMPRODUCT((I308:I1306=22)*(D308:D1306))</f>
        <v>54815736</v>
      </c>
      <c r="I308">
        <f>WEEKNUM(Слияние1[[#This Row],[Дата]],2)</f>
        <v>21</v>
      </c>
      <c r="J308" s="15">
        <f>Слияние1[[#This Row],[Товарооборот, руб]] / SUM(Слияние1[Товарооборот, руб])</f>
        <v>5.0921525215497608E-4</v>
      </c>
    </row>
    <row r="309" spans="1:10" x14ac:dyDescent="0.3">
      <c r="A309" s="13">
        <v>43971</v>
      </c>
      <c r="B309" t="s">
        <v>20</v>
      </c>
      <c r="C309">
        <v>28849.5</v>
      </c>
      <c r="D309">
        <v>2520759</v>
      </c>
      <c r="E309">
        <v>19</v>
      </c>
      <c r="F309">
        <v>1823</v>
      </c>
      <c r="G309">
        <v>1678</v>
      </c>
      <c r="H309" cm="1">
        <f t="array" ref="H309">SUMPRODUCT((I309:I1307=22)*(D309:D1307))</f>
        <v>54815736</v>
      </c>
      <c r="I309">
        <f>WEEKNUM(Слияние1[[#This Row],[Дата]],2)</f>
        <v>21</v>
      </c>
      <c r="J309" s="15">
        <f>Слияние1[[#This Row],[Товарооборот, руб]] / SUM(Слияние1[Товарооборот, руб])</f>
        <v>5.0797592228565619E-4</v>
      </c>
    </row>
    <row r="310" spans="1:10" x14ac:dyDescent="0.3">
      <c r="A310" s="13">
        <v>43976</v>
      </c>
      <c r="B310" t="s">
        <v>20</v>
      </c>
      <c r="C310">
        <v>28494</v>
      </c>
      <c r="D310">
        <v>2512803</v>
      </c>
      <c r="E310">
        <v>20</v>
      </c>
      <c r="F310">
        <v>1899</v>
      </c>
      <c r="G310">
        <v>1738</v>
      </c>
      <c r="H310" cm="1">
        <f t="array" ref="H310">SUMPRODUCT((I310:I1308=22)*(D310:D1308))</f>
        <v>54815736</v>
      </c>
      <c r="I310">
        <f>WEEKNUM(Слияние1[[#This Row],[Дата]],2)</f>
        <v>22</v>
      </c>
      <c r="J310" s="15">
        <f>Слияние1[[#This Row],[Товарооборот, руб]] / SUM(Слияние1[Товарооборот, руб])</f>
        <v>5.0637265262056539E-4</v>
      </c>
    </row>
    <row r="311" spans="1:10" x14ac:dyDescent="0.3">
      <c r="A311" s="13">
        <v>43962</v>
      </c>
      <c r="B311" t="s">
        <v>10</v>
      </c>
      <c r="C311">
        <v>27187.5</v>
      </c>
      <c r="D311">
        <v>2479396.5</v>
      </c>
      <c r="E311">
        <v>21</v>
      </c>
      <c r="F311">
        <v>1597</v>
      </c>
      <c r="G311">
        <v>1457</v>
      </c>
      <c r="H311" cm="1">
        <f t="array" ref="H311">SUMPRODUCT((I311:I1309=22)*(D311:D1309))</f>
        <v>52302933</v>
      </c>
      <c r="I311">
        <f>WEEKNUM(Слияние1[[#This Row],[Дата]],2)</f>
        <v>20</v>
      </c>
      <c r="J311" s="15">
        <f>Слияние1[[#This Row],[Товарооборот, руб]] / SUM(Слияние1[Товарооборот, руб])</f>
        <v>4.9964067322553563E-4</v>
      </c>
    </row>
    <row r="312" spans="1:10" x14ac:dyDescent="0.3">
      <c r="A312" s="13">
        <v>43966</v>
      </c>
      <c r="B312" t="s">
        <v>20</v>
      </c>
      <c r="C312">
        <v>29283</v>
      </c>
      <c r="D312">
        <v>2477487</v>
      </c>
      <c r="E312">
        <v>19</v>
      </c>
      <c r="F312">
        <v>1780</v>
      </c>
      <c r="G312">
        <v>1615</v>
      </c>
      <c r="H312" cm="1">
        <f t="array" ref="H312">SUMPRODUCT((I312:I1310=22)*(D312:D1310))</f>
        <v>52302933</v>
      </c>
      <c r="I312">
        <f>WEEKNUM(Слияние1[[#This Row],[Дата]],2)</f>
        <v>20</v>
      </c>
      <c r="J312" s="15">
        <f>Слияние1[[#This Row],[Товарооборот, руб]] / SUM(Слияние1[Товарооборот, руб])</f>
        <v>4.9925587641489074E-4</v>
      </c>
    </row>
    <row r="313" spans="1:10" x14ac:dyDescent="0.3">
      <c r="A313" s="13">
        <v>43958</v>
      </c>
      <c r="B313" t="s">
        <v>10</v>
      </c>
      <c r="C313">
        <v>27018</v>
      </c>
      <c r="D313">
        <v>2472213</v>
      </c>
      <c r="E313">
        <v>21</v>
      </c>
      <c r="F313">
        <v>1542</v>
      </c>
      <c r="G313">
        <v>1405</v>
      </c>
      <c r="H313" cm="1">
        <f t="array" ref="H313">SUMPRODUCT((I313:I1311=22)*(D313:D1311))</f>
        <v>52302933</v>
      </c>
      <c r="I313">
        <f>WEEKNUM(Слияние1[[#This Row],[Дата]],2)</f>
        <v>19</v>
      </c>
      <c r="J313" s="15">
        <f>Слияние1[[#This Row],[Товарооборот, руб]] / SUM(Слияние1[Товарооборот, руб])</f>
        <v>4.9819307548305456E-4</v>
      </c>
    </row>
    <row r="314" spans="1:10" x14ac:dyDescent="0.3">
      <c r="A314" s="13">
        <v>43953</v>
      </c>
      <c r="B314" t="s">
        <v>17</v>
      </c>
      <c r="C314">
        <v>26428.5</v>
      </c>
      <c r="D314">
        <v>2470465.5</v>
      </c>
      <c r="E314">
        <v>20</v>
      </c>
      <c r="F314">
        <v>1613</v>
      </c>
      <c r="G314">
        <v>1457</v>
      </c>
      <c r="H314" cm="1">
        <f t="array" ref="H314">SUMPRODUCT((I314:I1312=22)*(D314:D1312))</f>
        <v>52302933</v>
      </c>
      <c r="I314">
        <f>WEEKNUM(Слияние1[[#This Row],[Дата]],2)</f>
        <v>18</v>
      </c>
      <c r="J314" s="15">
        <f>Слияние1[[#This Row],[Товарооборот, руб]] / SUM(Слияние1[Товарооборот, руб])</f>
        <v>4.9784092443482095E-4</v>
      </c>
    </row>
    <row r="315" spans="1:10" x14ac:dyDescent="0.3">
      <c r="A315" s="13">
        <v>43978</v>
      </c>
      <c r="B315" t="s">
        <v>20</v>
      </c>
      <c r="C315">
        <v>28050</v>
      </c>
      <c r="D315">
        <v>2458555.5</v>
      </c>
      <c r="E315">
        <v>20</v>
      </c>
      <c r="F315">
        <v>1873</v>
      </c>
      <c r="G315">
        <v>1715</v>
      </c>
      <c r="H315" cm="1">
        <f t="array" ref="H315">SUMPRODUCT((I315:I1313=22)*(D315:D1313))</f>
        <v>52302933</v>
      </c>
      <c r="I315">
        <f>WEEKNUM(Слияние1[[#This Row],[Дата]],2)</f>
        <v>22</v>
      </c>
      <c r="J315" s="15">
        <f>Слияние1[[#This Row],[Товарооборот, руб]] / SUM(Слияние1[Товарооборот, руб])</f>
        <v>4.9544085634643082E-4</v>
      </c>
    </row>
    <row r="316" spans="1:10" x14ac:dyDescent="0.3">
      <c r="A316" s="13">
        <v>43981</v>
      </c>
      <c r="B316" t="s">
        <v>18</v>
      </c>
      <c r="C316">
        <v>27250.5</v>
      </c>
      <c r="D316">
        <v>2457252</v>
      </c>
      <c r="E316">
        <v>17</v>
      </c>
      <c r="F316">
        <v>1697</v>
      </c>
      <c r="G316">
        <v>1499</v>
      </c>
      <c r="H316" cm="1">
        <f t="array" ref="H316">SUMPRODUCT((I316:I1314=22)*(D316:D1314))</f>
        <v>49844377.5</v>
      </c>
      <c r="I316">
        <f>WEEKNUM(Слияние1[[#This Row],[Дата]],2)</f>
        <v>22</v>
      </c>
      <c r="J316" s="15">
        <f>Слияние1[[#This Row],[Товарооборот, руб]] / SUM(Слияние1[Товарооборот, руб])</f>
        <v>4.9517817886925066E-4</v>
      </c>
    </row>
    <row r="317" spans="1:10" x14ac:dyDescent="0.3">
      <c r="A317" s="13">
        <v>43955</v>
      </c>
      <c r="B317" t="s">
        <v>13</v>
      </c>
      <c r="C317">
        <v>27072</v>
      </c>
      <c r="D317">
        <v>2450968.5</v>
      </c>
      <c r="E317">
        <v>19</v>
      </c>
      <c r="F317">
        <v>1582</v>
      </c>
      <c r="G317">
        <v>1403</v>
      </c>
      <c r="H317" cm="1">
        <f t="array" ref="H317">SUMPRODUCT((I317:I1315=22)*(D317:D1315))</f>
        <v>47387125.5</v>
      </c>
      <c r="I317">
        <f>WEEKNUM(Слияние1[[#This Row],[Дата]],2)</f>
        <v>19</v>
      </c>
      <c r="J317" s="15">
        <f>Слияние1[[#This Row],[Товарооборот, руб]] / SUM(Слияние1[Товарооборот, руб])</f>
        <v>4.9391194647349917E-4</v>
      </c>
    </row>
    <row r="318" spans="1:10" x14ac:dyDescent="0.3">
      <c r="A318" s="13">
        <v>43970</v>
      </c>
      <c r="B318" t="s">
        <v>20</v>
      </c>
      <c r="C318">
        <v>28882.5</v>
      </c>
      <c r="D318">
        <v>2446530</v>
      </c>
      <c r="E318">
        <v>19</v>
      </c>
      <c r="F318">
        <v>1831</v>
      </c>
      <c r="G318">
        <v>1667</v>
      </c>
      <c r="H318" cm="1">
        <f t="array" ref="H318">SUMPRODUCT((I318:I1316=22)*(D318:D1316))</f>
        <v>47387125.5</v>
      </c>
      <c r="I318">
        <f>WEEKNUM(Слияние1[[#This Row],[Дата]],2)</f>
        <v>21</v>
      </c>
      <c r="J318" s="15">
        <f>Слияние1[[#This Row],[Товарооборот, руб]] / SUM(Слияние1[Товарооборот, руб])</f>
        <v>4.9301751303854372E-4</v>
      </c>
    </row>
    <row r="319" spans="1:10" x14ac:dyDescent="0.3">
      <c r="A319" s="13">
        <v>43965</v>
      </c>
      <c r="B319" t="s">
        <v>13</v>
      </c>
      <c r="C319">
        <v>27411</v>
      </c>
      <c r="D319">
        <v>2441520</v>
      </c>
      <c r="E319">
        <v>19</v>
      </c>
      <c r="F319">
        <v>1675</v>
      </c>
      <c r="G319">
        <v>1475</v>
      </c>
      <c r="H319" cm="1">
        <f t="array" ref="H319">SUMPRODUCT((I319:I1317=22)*(D319:D1317))</f>
        <v>47387125.5</v>
      </c>
      <c r="I319">
        <f>WEEKNUM(Слияние1[[#This Row],[Дата]],2)</f>
        <v>20</v>
      </c>
      <c r="J319" s="15">
        <f>Слияние1[[#This Row],[Товарооборот, руб]] / SUM(Слияние1[Товарооборот, руб])</f>
        <v>4.9200791260841487E-4</v>
      </c>
    </row>
    <row r="320" spans="1:10" x14ac:dyDescent="0.3">
      <c r="A320" s="13">
        <v>43968</v>
      </c>
      <c r="B320" t="s">
        <v>20</v>
      </c>
      <c r="C320">
        <v>28275</v>
      </c>
      <c r="D320">
        <v>2435632.5</v>
      </c>
      <c r="E320">
        <v>19</v>
      </c>
      <c r="F320">
        <v>1790</v>
      </c>
      <c r="G320">
        <v>1633</v>
      </c>
      <c r="H320" cm="1">
        <f t="array" ref="H320">SUMPRODUCT((I320:I1318=22)*(D320:D1318))</f>
        <v>47387125.5</v>
      </c>
      <c r="I320">
        <f>WEEKNUM(Слияние1[[#This Row],[Дата]],2)</f>
        <v>20</v>
      </c>
      <c r="J320" s="15">
        <f>Слияние1[[#This Row],[Товарооборот, руб]] / SUM(Слияние1[Товарооборот, руб])</f>
        <v>4.9082148096522458E-4</v>
      </c>
    </row>
    <row r="321" spans="1:10" x14ac:dyDescent="0.3">
      <c r="A321" s="13">
        <v>43954</v>
      </c>
      <c r="B321" t="s">
        <v>10</v>
      </c>
      <c r="C321">
        <v>26082</v>
      </c>
      <c r="D321">
        <v>2434914</v>
      </c>
      <c r="E321">
        <v>20</v>
      </c>
      <c r="F321">
        <v>1520</v>
      </c>
      <c r="G321">
        <v>1373</v>
      </c>
      <c r="H321" cm="1">
        <f t="array" ref="H321">SUMPRODUCT((I321:I1319=22)*(D321:D1319))</f>
        <v>47387125.5</v>
      </c>
      <c r="I321">
        <f>WEEKNUM(Слияние1[[#This Row],[Дата]],2)</f>
        <v>18</v>
      </c>
      <c r="J321" s="15">
        <f>Слияние1[[#This Row],[Товарооборот, руб]] / SUM(Слияние1[Товарооборот, руб])</f>
        <v>4.9067669096341865E-4</v>
      </c>
    </row>
    <row r="322" spans="1:10" x14ac:dyDescent="0.3">
      <c r="A322" s="13">
        <v>43949</v>
      </c>
      <c r="B322" t="s">
        <v>10</v>
      </c>
      <c r="C322">
        <v>26940</v>
      </c>
      <c r="D322">
        <v>2411587.5</v>
      </c>
      <c r="E322">
        <v>18</v>
      </c>
      <c r="F322">
        <v>1539</v>
      </c>
      <c r="G322">
        <v>1404</v>
      </c>
      <c r="H322" cm="1">
        <f t="array" ref="H322">SUMPRODUCT((I322:I1320=22)*(D322:D1320))</f>
        <v>47387125.5</v>
      </c>
      <c r="I322">
        <f>WEEKNUM(Слияние1[[#This Row],[Дата]],2)</f>
        <v>18</v>
      </c>
      <c r="J322" s="15">
        <f>Слияние1[[#This Row],[Товарооборот, руб]] / SUM(Слияние1[Товарооборот, руб])</f>
        <v>4.8597600345176193E-4</v>
      </c>
    </row>
    <row r="323" spans="1:10" x14ac:dyDescent="0.3">
      <c r="A323" s="13">
        <v>43977</v>
      </c>
      <c r="B323" t="s">
        <v>20</v>
      </c>
      <c r="C323">
        <v>27156</v>
      </c>
      <c r="D323">
        <v>2410803</v>
      </c>
      <c r="E323">
        <v>20</v>
      </c>
      <c r="F323">
        <v>1814</v>
      </c>
      <c r="G323">
        <v>1655</v>
      </c>
      <c r="H323" cm="1">
        <f t="array" ref="H323">SUMPRODUCT((I323:I1321=22)*(D323:D1321))</f>
        <v>47387125.5</v>
      </c>
      <c r="I323">
        <f>WEEKNUM(Слияние1[[#This Row],[Дата]],2)</f>
        <v>22</v>
      </c>
      <c r="J323" s="15">
        <f>Слияние1[[#This Row],[Товарооборот, руб]] / SUM(Слияние1[Товарооборот, руб])</f>
        <v>4.8581791332452922E-4</v>
      </c>
    </row>
    <row r="324" spans="1:10" x14ac:dyDescent="0.3">
      <c r="A324" s="13">
        <v>43950</v>
      </c>
      <c r="B324" t="s">
        <v>13</v>
      </c>
      <c r="C324">
        <v>25917</v>
      </c>
      <c r="D324">
        <v>2397588</v>
      </c>
      <c r="E324">
        <v>18</v>
      </c>
      <c r="F324">
        <v>1534</v>
      </c>
      <c r="G324">
        <v>1369</v>
      </c>
      <c r="H324" cm="1">
        <f t="array" ref="H324">SUMPRODUCT((I324:I1322=22)*(D324:D1322))</f>
        <v>44976322.5</v>
      </c>
      <c r="I324">
        <f>WEEKNUM(Слияние1[[#This Row],[Дата]],2)</f>
        <v>18</v>
      </c>
      <c r="J324" s="15">
        <f>Слияние1[[#This Row],[Товарооборот, руб]] / SUM(Слияние1[Товарооборот, руб])</f>
        <v>4.83154865483381E-4</v>
      </c>
    </row>
    <row r="325" spans="1:10" x14ac:dyDescent="0.3">
      <c r="A325" s="13">
        <v>43960</v>
      </c>
      <c r="B325" t="s">
        <v>20</v>
      </c>
      <c r="C325">
        <v>26271</v>
      </c>
      <c r="D325">
        <v>2384937</v>
      </c>
      <c r="E325">
        <v>19</v>
      </c>
      <c r="F325">
        <v>1542</v>
      </c>
      <c r="G325">
        <v>1412</v>
      </c>
      <c r="H325" cm="1">
        <f t="array" ref="H325">SUMPRODUCT((I325:I1323=22)*(D325:D1323))</f>
        <v>44976322.5</v>
      </c>
      <c r="I325">
        <f>WEEKNUM(Слияние1[[#This Row],[Дата]],2)</f>
        <v>19</v>
      </c>
      <c r="J325" s="15">
        <f>Слияние1[[#This Row],[Товарооборот, руб]] / SUM(Слияние1[Товарооборот, руб])</f>
        <v>4.806054732595167E-4</v>
      </c>
    </row>
    <row r="326" spans="1:10" x14ac:dyDescent="0.3">
      <c r="A326" s="13">
        <v>43956</v>
      </c>
      <c r="B326" t="s">
        <v>20</v>
      </c>
      <c r="C326">
        <v>26367</v>
      </c>
      <c r="D326">
        <v>2380333.5</v>
      </c>
      <c r="E326">
        <v>19</v>
      </c>
      <c r="F326">
        <v>1622</v>
      </c>
      <c r="G326">
        <v>1482</v>
      </c>
      <c r="H326" cm="1">
        <f t="array" ref="H326">SUMPRODUCT((I326:I1324=22)*(D326:D1324))</f>
        <v>44976322.5</v>
      </c>
      <c r="I326">
        <f>WEEKNUM(Слияние1[[#This Row],[Дата]],2)</f>
        <v>19</v>
      </c>
      <c r="J326" s="15">
        <f>Слияние1[[#This Row],[Товарооборот, руб]] / SUM(Слияние1[Товарооборот, руб])</f>
        <v>4.7967778951099415E-4</v>
      </c>
    </row>
    <row r="327" spans="1:10" x14ac:dyDescent="0.3">
      <c r="A327" s="13">
        <v>43952</v>
      </c>
      <c r="B327" t="s">
        <v>13</v>
      </c>
      <c r="C327">
        <v>25792.5</v>
      </c>
      <c r="D327">
        <v>2374356</v>
      </c>
      <c r="E327">
        <v>19</v>
      </c>
      <c r="F327">
        <v>1497</v>
      </c>
      <c r="G327">
        <v>1291</v>
      </c>
      <c r="H327" cm="1">
        <f t="array" ref="H327">SUMPRODUCT((I327:I1325=22)*(D327:D1325))</f>
        <v>44976322.5</v>
      </c>
      <c r="I327">
        <f>WEEKNUM(Слияние1[[#This Row],[Дата]],2)</f>
        <v>18</v>
      </c>
      <c r="J327" s="15">
        <f>Слияние1[[#This Row],[Товарооборот, руб]] / SUM(Слияние1[Товарооборот, руб])</f>
        <v>4.7847322133313084E-4</v>
      </c>
    </row>
    <row r="328" spans="1:10" x14ac:dyDescent="0.3">
      <c r="A328" s="13">
        <v>43964</v>
      </c>
      <c r="B328" t="s">
        <v>13</v>
      </c>
      <c r="C328">
        <v>26464.5</v>
      </c>
      <c r="D328">
        <v>2373337.5</v>
      </c>
      <c r="E328">
        <v>19</v>
      </c>
      <c r="F328">
        <v>1625</v>
      </c>
      <c r="G328">
        <v>1444</v>
      </c>
      <c r="H328" cm="1">
        <f t="array" ref="H328">SUMPRODUCT((I328:I1326=22)*(D328:D1326))</f>
        <v>44976322.5</v>
      </c>
      <c r="I328">
        <f>WEEKNUM(Слияние1[[#This Row],[Дата]],2)</f>
        <v>20</v>
      </c>
      <c r="J328" s="15">
        <f>Слияние1[[#This Row],[Товарооборот, руб]] / SUM(Слияние1[Товарооборот, руб])</f>
        <v>4.7826797621574837E-4</v>
      </c>
    </row>
    <row r="329" spans="1:10" x14ac:dyDescent="0.3">
      <c r="A329" s="13">
        <v>43955</v>
      </c>
      <c r="B329" t="s">
        <v>10</v>
      </c>
      <c r="C329">
        <v>25566</v>
      </c>
      <c r="D329">
        <v>2372310</v>
      </c>
      <c r="E329">
        <v>20</v>
      </c>
      <c r="F329">
        <v>1519</v>
      </c>
      <c r="G329">
        <v>1372</v>
      </c>
      <c r="H329" cm="1">
        <f t="array" ref="H329">SUMPRODUCT((I329:I1327=22)*(D329:D1327))</f>
        <v>44976322.5</v>
      </c>
      <c r="I329">
        <f>WEEKNUM(Слияние1[[#This Row],[Дата]],2)</f>
        <v>19</v>
      </c>
      <c r="J329" s="15">
        <f>Слияние1[[#This Row],[Товарооборот, руб]] / SUM(Слияние1[Товарооборот, руб])</f>
        <v>4.7806091744489858E-4</v>
      </c>
    </row>
    <row r="330" spans="1:10" x14ac:dyDescent="0.3">
      <c r="A330" s="13">
        <v>43963</v>
      </c>
      <c r="B330" t="s">
        <v>13</v>
      </c>
      <c r="C330">
        <v>26032.5</v>
      </c>
      <c r="D330">
        <v>2370432</v>
      </c>
      <c r="E330">
        <v>19</v>
      </c>
      <c r="F330">
        <v>1649</v>
      </c>
      <c r="G330">
        <v>1460</v>
      </c>
      <c r="H330" cm="1">
        <f t="array" ref="H330">SUMPRODUCT((I330:I1328=22)*(D330:D1328))</f>
        <v>44976322.5</v>
      </c>
      <c r="I330">
        <f>WEEKNUM(Слияние1[[#This Row],[Дата]],2)</f>
        <v>20</v>
      </c>
      <c r="J330" s="15">
        <f>Слияние1[[#This Row],[Товарооборот, руб]] / SUM(Слияние1[Товарооборот, руб])</f>
        <v>4.7768246842138924E-4</v>
      </c>
    </row>
    <row r="331" spans="1:10" x14ac:dyDescent="0.3">
      <c r="A331" s="13">
        <v>43950</v>
      </c>
      <c r="B331" t="s">
        <v>20</v>
      </c>
      <c r="C331">
        <v>25816.5</v>
      </c>
      <c r="D331">
        <v>2360914.5</v>
      </c>
      <c r="E331">
        <v>18</v>
      </c>
      <c r="F331">
        <v>1599</v>
      </c>
      <c r="G331">
        <v>1450</v>
      </c>
      <c r="H331" cm="1">
        <f t="array" ref="H331">SUMPRODUCT((I331:I1329=22)*(D331:D1329))</f>
        <v>44976322.5</v>
      </c>
      <c r="I331">
        <f>WEEKNUM(Слияние1[[#This Row],[Дата]],2)</f>
        <v>18</v>
      </c>
      <c r="J331" s="15">
        <f>Слияние1[[#This Row],[Товарооборот, руб]] / SUM(Слияние1[Товарооборот, руб])</f>
        <v>4.7576452987972229E-4</v>
      </c>
    </row>
    <row r="332" spans="1:10" x14ac:dyDescent="0.3">
      <c r="A332" s="13">
        <v>43958</v>
      </c>
      <c r="B332" t="s">
        <v>13</v>
      </c>
      <c r="C332">
        <v>25468.5</v>
      </c>
      <c r="D332">
        <v>2350672.5</v>
      </c>
      <c r="E332">
        <v>19</v>
      </c>
      <c r="F332">
        <v>1530</v>
      </c>
      <c r="G332">
        <v>1338</v>
      </c>
      <c r="H332" cm="1">
        <f t="array" ref="H332">SUMPRODUCT((I332:I1330=22)*(D332:D1330))</f>
        <v>44976322.5</v>
      </c>
      <c r="I332">
        <f>WEEKNUM(Слияние1[[#This Row],[Дата]],2)</f>
        <v>19</v>
      </c>
      <c r="J332" s="15">
        <f>Слияние1[[#This Row],[Товарооборот, руб]] / SUM(Слияние1[Товарооборот, руб])</f>
        <v>4.7370059223393796E-4</v>
      </c>
    </row>
    <row r="333" spans="1:10" x14ac:dyDescent="0.3">
      <c r="A333" s="13">
        <v>43969</v>
      </c>
      <c r="B333" t="s">
        <v>20</v>
      </c>
      <c r="C333">
        <v>27181.5</v>
      </c>
      <c r="D333">
        <v>2324490</v>
      </c>
      <c r="E333">
        <v>19</v>
      </c>
      <c r="F333">
        <v>1741</v>
      </c>
      <c r="G333">
        <v>1597</v>
      </c>
      <c r="H333" cm="1">
        <f t="array" ref="H333">SUMPRODUCT((I333:I1331=22)*(D333:D1331))</f>
        <v>44976322.5</v>
      </c>
      <c r="I333">
        <f>WEEKNUM(Слияние1[[#This Row],[Дата]],2)</f>
        <v>21</v>
      </c>
      <c r="J333" s="15">
        <f>Слияние1[[#This Row],[Товарооборот, руб]] / SUM(Слияние1[Товарооборот, руб])</f>
        <v>4.684243720219922E-4</v>
      </c>
    </row>
    <row r="334" spans="1:10" x14ac:dyDescent="0.3">
      <c r="A334" s="13">
        <v>43958</v>
      </c>
      <c r="B334" t="s">
        <v>20</v>
      </c>
      <c r="C334">
        <v>26184</v>
      </c>
      <c r="D334">
        <v>2308336.5</v>
      </c>
      <c r="E334">
        <v>19</v>
      </c>
      <c r="F334">
        <v>1580</v>
      </c>
      <c r="G334">
        <v>1435</v>
      </c>
      <c r="H334" cm="1">
        <f t="array" ref="H334">SUMPRODUCT((I334:I1332=22)*(D334:D1332))</f>
        <v>44976322.5</v>
      </c>
      <c r="I334">
        <f>WEEKNUM(Слияние1[[#This Row],[Дата]],2)</f>
        <v>19</v>
      </c>
      <c r="J334" s="15">
        <f>Слияние1[[#This Row],[Товарооборот, руб]] / SUM(Слияние1[Товарооборот, руб])</f>
        <v>4.6516916632377141E-4</v>
      </c>
    </row>
    <row r="335" spans="1:10" x14ac:dyDescent="0.3">
      <c r="A335" s="13">
        <v>43949</v>
      </c>
      <c r="B335" t="s">
        <v>20</v>
      </c>
      <c r="C335">
        <v>25149</v>
      </c>
      <c r="D335">
        <v>2277072</v>
      </c>
      <c r="E335">
        <v>18</v>
      </c>
      <c r="F335">
        <v>1505</v>
      </c>
      <c r="G335">
        <v>1368</v>
      </c>
      <c r="H335" cm="1">
        <f t="array" ref="H335">SUMPRODUCT((I335:I1333=22)*(D335:D1333))</f>
        <v>44976322.5</v>
      </c>
      <c r="I335">
        <f>WEEKNUM(Слияние1[[#This Row],[Дата]],2)</f>
        <v>18</v>
      </c>
      <c r="J335" s="15">
        <f>Слияние1[[#This Row],[Товарооборот, руб]] / SUM(Слияние1[Товарооборот, руб])</f>
        <v>4.5886883645395842E-4</v>
      </c>
    </row>
    <row r="336" spans="1:10" x14ac:dyDescent="0.3">
      <c r="A336" s="13">
        <v>43959</v>
      </c>
      <c r="B336" t="s">
        <v>13</v>
      </c>
      <c r="C336">
        <v>25294.5</v>
      </c>
      <c r="D336">
        <v>2271454.5</v>
      </c>
      <c r="E336">
        <v>19</v>
      </c>
      <c r="F336">
        <v>1522</v>
      </c>
      <c r="G336">
        <v>1340</v>
      </c>
      <c r="H336" cm="1">
        <f t="array" ref="H336">SUMPRODUCT((I336:I1334=22)*(D336:D1334))</f>
        <v>44976322.5</v>
      </c>
      <c r="I336">
        <f>WEEKNUM(Слияние1[[#This Row],[Дата]],2)</f>
        <v>19</v>
      </c>
      <c r="J336" s="15">
        <f>Слияние1[[#This Row],[Товарооборот, руб]] / SUM(Слияние1[Товарооборот, руб])</f>
        <v>4.57736814414787E-4</v>
      </c>
    </row>
    <row r="337" spans="1:10" x14ac:dyDescent="0.3">
      <c r="A337" s="13">
        <v>43951</v>
      </c>
      <c r="B337" t="s">
        <v>13</v>
      </c>
      <c r="C337">
        <v>24211.5</v>
      </c>
      <c r="D337">
        <v>2267664</v>
      </c>
      <c r="E337">
        <v>19</v>
      </c>
      <c r="F337">
        <v>1499</v>
      </c>
      <c r="G337">
        <v>1322</v>
      </c>
      <c r="H337" cm="1">
        <f t="array" ref="H337">SUMPRODUCT((I337:I1335=22)*(D337:D1335))</f>
        <v>44976322.5</v>
      </c>
      <c r="I337">
        <f>WEEKNUM(Слияние1[[#This Row],[Дата]],2)</f>
        <v>18</v>
      </c>
      <c r="J337" s="15">
        <f>Слияние1[[#This Row],[Товарооборот, руб]] / SUM(Слияние1[Товарооборот, руб])</f>
        <v>4.5697296402947695E-4</v>
      </c>
    </row>
    <row r="338" spans="1:10" x14ac:dyDescent="0.3">
      <c r="A338" s="13">
        <v>43964</v>
      </c>
      <c r="B338" t="s">
        <v>20</v>
      </c>
      <c r="C338">
        <v>25539</v>
      </c>
      <c r="D338">
        <v>2263651.5</v>
      </c>
      <c r="E338">
        <v>19</v>
      </c>
      <c r="F338">
        <v>1605</v>
      </c>
      <c r="G338">
        <v>1447</v>
      </c>
      <c r="H338" cm="1">
        <f t="array" ref="H338">SUMPRODUCT((I338:I1336=22)*(D338:D1336))</f>
        <v>44976322.5</v>
      </c>
      <c r="I338">
        <f>WEEKNUM(Слияние1[[#This Row],[Дата]],2)</f>
        <v>20</v>
      </c>
      <c r="J338" s="15">
        <f>Слияние1[[#This Row],[Товарооборот, руб]] / SUM(Слияние1[Товарооборот, руб])</f>
        <v>4.5616437685864027E-4</v>
      </c>
    </row>
    <row r="339" spans="1:10" x14ac:dyDescent="0.3">
      <c r="A339" s="13">
        <v>43963</v>
      </c>
      <c r="B339" t="s">
        <v>20</v>
      </c>
      <c r="C339">
        <v>25483.5</v>
      </c>
      <c r="D339">
        <v>2243160</v>
      </c>
      <c r="E339">
        <v>19</v>
      </c>
      <c r="F339">
        <v>1598</v>
      </c>
      <c r="G339">
        <v>1454</v>
      </c>
      <c r="H339" cm="1">
        <f t="array" ref="H339">SUMPRODUCT((I339:I1337=22)*(D339:D1337))</f>
        <v>44976322.5</v>
      </c>
      <c r="I339">
        <f>WEEKNUM(Слияние1[[#This Row],[Дата]],2)</f>
        <v>20</v>
      </c>
      <c r="J339" s="15">
        <f>Слияние1[[#This Row],[Товарооборот, руб]] / SUM(Слияние1[Товарооборот, руб])</f>
        <v>4.5203499018918214E-4</v>
      </c>
    </row>
    <row r="340" spans="1:10" x14ac:dyDescent="0.3">
      <c r="A340" s="13">
        <v>43959</v>
      </c>
      <c r="B340" t="s">
        <v>20</v>
      </c>
      <c r="C340">
        <v>25020</v>
      </c>
      <c r="D340">
        <v>2235960</v>
      </c>
      <c r="E340">
        <v>19</v>
      </c>
      <c r="F340">
        <v>1520</v>
      </c>
      <c r="G340">
        <v>1380</v>
      </c>
      <c r="H340" cm="1">
        <f t="array" ref="H340">SUMPRODUCT((I340:I1338=22)*(D340:D1338))</f>
        <v>44976322.5</v>
      </c>
      <c r="I340">
        <f>WEEKNUM(Слияние1[[#This Row],[Дата]],2)</f>
        <v>19</v>
      </c>
      <c r="J340" s="15">
        <f>Слияние1[[#This Row],[Товарооборот, руб]] / SUM(Слияние1[Товарооборот, руб])</f>
        <v>4.5058406741534432E-4</v>
      </c>
    </row>
    <row r="341" spans="1:10" x14ac:dyDescent="0.3">
      <c r="A341" s="13">
        <v>43957</v>
      </c>
      <c r="B341" t="s">
        <v>13</v>
      </c>
      <c r="C341">
        <v>24678</v>
      </c>
      <c r="D341">
        <v>2232519</v>
      </c>
      <c r="E341">
        <v>19</v>
      </c>
      <c r="F341">
        <v>1499</v>
      </c>
      <c r="G341">
        <v>1323</v>
      </c>
      <c r="H341" cm="1">
        <f t="array" ref="H341">SUMPRODUCT((I341:I1339=22)*(D341:D1339))</f>
        <v>44976322.5</v>
      </c>
      <c r="I341">
        <f>WEEKNUM(Слияние1[[#This Row],[Дата]],2)</f>
        <v>19</v>
      </c>
      <c r="J341" s="15">
        <f>Слияние1[[#This Row],[Товарооборот, руб]] / SUM(Слияние1[Товарооборот, руб])</f>
        <v>4.4989064723968095E-4</v>
      </c>
    </row>
    <row r="342" spans="1:10" x14ac:dyDescent="0.3">
      <c r="A342" s="13">
        <v>43965</v>
      </c>
      <c r="B342" t="s">
        <v>20</v>
      </c>
      <c r="C342">
        <v>25656</v>
      </c>
      <c r="D342">
        <v>2225341.5</v>
      </c>
      <c r="E342">
        <v>19</v>
      </c>
      <c r="F342">
        <v>1635</v>
      </c>
      <c r="G342">
        <v>1487</v>
      </c>
      <c r="H342" cm="1">
        <f t="array" ref="H342">SUMPRODUCT((I342:I1340=22)*(D342:D1340))</f>
        <v>44976322.5</v>
      </c>
      <c r="I342">
        <f>WEEKNUM(Слияние1[[#This Row],[Дата]],2)</f>
        <v>20</v>
      </c>
      <c r="J342" s="15">
        <f>Слияние1[[#This Row],[Товарооборот, руб]] / SUM(Слияние1[Товарооборот, руб])</f>
        <v>4.4844425859951137E-4</v>
      </c>
    </row>
    <row r="343" spans="1:10" x14ac:dyDescent="0.3">
      <c r="A343" s="13">
        <v>43972</v>
      </c>
      <c r="B343" t="s">
        <v>20</v>
      </c>
      <c r="C343">
        <v>25362</v>
      </c>
      <c r="D343">
        <v>2198935.5</v>
      </c>
      <c r="E343">
        <v>19</v>
      </c>
      <c r="F343">
        <v>1650</v>
      </c>
      <c r="G343">
        <v>1505</v>
      </c>
      <c r="H343" cm="1">
        <f t="array" ref="H343">SUMPRODUCT((I343:I1341=22)*(D343:D1341))</f>
        <v>44976322.5</v>
      </c>
      <c r="I343">
        <f>WEEKNUM(Слияние1[[#This Row],[Дата]],2)</f>
        <v>21</v>
      </c>
      <c r="J343" s="15">
        <f>Слияние1[[#This Row],[Товарооборот, руб]] / SUM(Слияние1[Товарооборот, руб])</f>
        <v>4.4312299932646105E-4</v>
      </c>
    </row>
    <row r="344" spans="1:10" x14ac:dyDescent="0.3">
      <c r="A344" s="13">
        <v>43954</v>
      </c>
      <c r="B344" t="s">
        <v>13</v>
      </c>
      <c r="C344">
        <v>23539.5</v>
      </c>
      <c r="D344">
        <v>2170309.5</v>
      </c>
      <c r="E344">
        <v>19</v>
      </c>
      <c r="F344">
        <v>1402</v>
      </c>
      <c r="G344">
        <v>1234</v>
      </c>
      <c r="H344" cm="1">
        <f t="array" ref="H344">SUMPRODUCT((I344:I1342=22)*(D344:D1342))</f>
        <v>44976322.5</v>
      </c>
      <c r="I344">
        <f>WEEKNUM(Слияние1[[#This Row],[Дата]],2)</f>
        <v>18</v>
      </c>
      <c r="J344" s="15">
        <f>Слияние1[[#This Row],[Товарооборот, руб]] / SUM(Слияние1[Товарооборот, руб])</f>
        <v>4.3735437219814404E-4</v>
      </c>
    </row>
    <row r="345" spans="1:10" x14ac:dyDescent="0.3">
      <c r="A345" s="13">
        <v>43962</v>
      </c>
      <c r="B345" t="s">
        <v>20</v>
      </c>
      <c r="C345">
        <v>23629.5</v>
      </c>
      <c r="D345">
        <v>2164365</v>
      </c>
      <c r="E345">
        <v>19</v>
      </c>
      <c r="F345">
        <v>1527</v>
      </c>
      <c r="G345">
        <v>1389</v>
      </c>
      <c r="H345" cm="1">
        <f t="array" ref="H345">SUMPRODUCT((I345:I1343=22)*(D345:D1343))</f>
        <v>44976322.5</v>
      </c>
      <c r="I345">
        <f>WEEKNUM(Слияние1[[#This Row],[Дата]],2)</f>
        <v>20</v>
      </c>
      <c r="J345" s="15">
        <f>Слияние1[[#This Row],[Товарооборот, руб]] / SUM(Слияние1[Товарооборот, руб])</f>
        <v>4.3615645408299418E-4</v>
      </c>
    </row>
    <row r="346" spans="1:10" x14ac:dyDescent="0.3">
      <c r="A346" s="13">
        <v>43957</v>
      </c>
      <c r="B346" t="s">
        <v>20</v>
      </c>
      <c r="C346">
        <v>24337.5</v>
      </c>
      <c r="D346">
        <v>2159350.5</v>
      </c>
      <c r="E346">
        <v>19</v>
      </c>
      <c r="F346">
        <v>1509</v>
      </c>
      <c r="G346">
        <v>1374</v>
      </c>
      <c r="H346" cm="1">
        <f t="array" ref="H346">SUMPRODUCT((I346:I1344=22)*(D346:D1344))</f>
        <v>44976322.5</v>
      </c>
      <c r="I346">
        <f>WEEKNUM(Слияние1[[#This Row],[Дата]],2)</f>
        <v>19</v>
      </c>
      <c r="J346" s="15">
        <f>Слияние1[[#This Row],[Товарооборот, руб]] / SUM(Слияние1[Товарооборот, руб])</f>
        <v>4.3514594682613172E-4</v>
      </c>
    </row>
    <row r="347" spans="1:10" x14ac:dyDescent="0.3">
      <c r="A347" s="13">
        <v>43955</v>
      </c>
      <c r="B347" t="s">
        <v>20</v>
      </c>
      <c r="C347">
        <v>23587.5</v>
      </c>
      <c r="D347">
        <v>2155668</v>
      </c>
      <c r="E347">
        <v>19</v>
      </c>
      <c r="F347">
        <v>1479</v>
      </c>
      <c r="G347">
        <v>1346</v>
      </c>
      <c r="H347" cm="1">
        <f t="array" ref="H347">SUMPRODUCT((I347:I1345=22)*(D347:D1345))</f>
        <v>44976322.5</v>
      </c>
      <c r="I347">
        <f>WEEKNUM(Слияние1[[#This Row],[Дата]],2)</f>
        <v>19</v>
      </c>
      <c r="J347" s="15">
        <f>Слияние1[[#This Row],[Товарооборот, руб]] / SUM(Слияние1[Товарооборот, руб])</f>
        <v>4.344038602824292E-4</v>
      </c>
    </row>
    <row r="348" spans="1:10" x14ac:dyDescent="0.3">
      <c r="A348" s="13">
        <v>43949</v>
      </c>
      <c r="B348" t="s">
        <v>13</v>
      </c>
      <c r="C348">
        <v>23314.5</v>
      </c>
      <c r="D348">
        <v>2136817.5</v>
      </c>
      <c r="E348">
        <v>17</v>
      </c>
      <c r="F348">
        <v>1439</v>
      </c>
      <c r="G348">
        <v>1265</v>
      </c>
      <c r="H348" cm="1">
        <f t="array" ref="H348">SUMPRODUCT((I348:I1346=22)*(D348:D1346))</f>
        <v>44976322.5</v>
      </c>
      <c r="I348">
        <f>WEEKNUM(Слияние1[[#This Row],[Дата]],2)</f>
        <v>18</v>
      </c>
      <c r="J348" s="15">
        <f>Слияние1[[#This Row],[Товарооборот, руб]] / SUM(Слияние1[Товарооборот, руб])</f>
        <v>4.3060516309517498E-4</v>
      </c>
    </row>
    <row r="349" spans="1:10" x14ac:dyDescent="0.3">
      <c r="A349" s="13">
        <v>43956</v>
      </c>
      <c r="B349" t="s">
        <v>13</v>
      </c>
      <c r="C349">
        <v>22848</v>
      </c>
      <c r="D349">
        <v>2079900</v>
      </c>
      <c r="E349">
        <v>19</v>
      </c>
      <c r="F349">
        <v>1417</v>
      </c>
      <c r="G349">
        <v>1245</v>
      </c>
      <c r="H349" cm="1">
        <f t="array" ref="H349">SUMPRODUCT((I349:I1347=22)*(D349:D1347))</f>
        <v>44976322.5</v>
      </c>
      <c r="I349">
        <f>WEEKNUM(Слияние1[[#This Row],[Дата]],2)</f>
        <v>19</v>
      </c>
      <c r="J349" s="15">
        <f>Слияние1[[#This Row],[Товарооборот, руб]] / SUM(Слияние1[Товарооборот, руб])</f>
        <v>4.1913531629240894E-4</v>
      </c>
    </row>
    <row r="350" spans="1:10" x14ac:dyDescent="0.3">
      <c r="A350" s="13">
        <v>43954</v>
      </c>
      <c r="B350" t="s">
        <v>20</v>
      </c>
      <c r="C350">
        <v>21343.5</v>
      </c>
      <c r="D350">
        <v>1906557</v>
      </c>
      <c r="E350">
        <v>19</v>
      </c>
      <c r="F350">
        <v>1314</v>
      </c>
      <c r="G350">
        <v>1192</v>
      </c>
      <c r="H350" cm="1">
        <f t="array" ref="H350">SUMPRODUCT((I350:I1348=22)*(D350:D1348))</f>
        <v>44976322.5</v>
      </c>
      <c r="I350">
        <f>WEEKNUM(Слияние1[[#This Row],[Дата]],2)</f>
        <v>18</v>
      </c>
      <c r="J350" s="15">
        <f>Слияние1[[#This Row],[Товарооборот, руб]] / SUM(Слияние1[Товарооборот, руб])</f>
        <v>3.8420374596110691E-4</v>
      </c>
    </row>
    <row r="351" spans="1:10" x14ac:dyDescent="0.3">
      <c r="A351" s="13">
        <v>43974</v>
      </c>
      <c r="B351" t="s">
        <v>18</v>
      </c>
      <c r="C351">
        <v>21958.5</v>
      </c>
      <c r="D351">
        <v>1854001.5</v>
      </c>
      <c r="E351">
        <v>17</v>
      </c>
      <c r="F351">
        <v>1294</v>
      </c>
      <c r="G351">
        <v>1155</v>
      </c>
      <c r="H351" cm="1">
        <f t="array" ref="H351">SUMPRODUCT((I351:I1349=22)*(D351:D1349))</f>
        <v>44976322.5</v>
      </c>
      <c r="I351">
        <f>WEEKNUM(Слияние1[[#This Row],[Дата]],2)</f>
        <v>21</v>
      </c>
      <c r="J351" s="15">
        <f>Слияние1[[#This Row],[Товарооборот, руб]] / SUM(Слияние1[Товарооборот, руб])</f>
        <v>3.7361291653882427E-4</v>
      </c>
    </row>
    <row r="352" spans="1:10" x14ac:dyDescent="0.3">
      <c r="A352" s="13">
        <v>43953</v>
      </c>
      <c r="B352" t="s">
        <v>13</v>
      </c>
      <c r="C352">
        <v>19461</v>
      </c>
      <c r="D352">
        <v>1799230.5</v>
      </c>
      <c r="E352">
        <v>19</v>
      </c>
      <c r="F352">
        <v>1217</v>
      </c>
      <c r="G352">
        <v>1048</v>
      </c>
      <c r="H352" cm="1">
        <f t="array" ref="H352">SUMPRODUCT((I352:I1350=22)*(D352:D1350))</f>
        <v>44976322.5</v>
      </c>
      <c r="I352">
        <f>WEEKNUM(Слияние1[[#This Row],[Дата]],2)</f>
        <v>18</v>
      </c>
      <c r="J352" s="15">
        <f>Слияние1[[#This Row],[Товарооборот, руб]] / SUM(Слияние1[Товарооборот, руб])</f>
        <v>3.6257562608800855E-4</v>
      </c>
    </row>
    <row r="353" spans="1:10" x14ac:dyDescent="0.3">
      <c r="A353" s="13">
        <v>43973</v>
      </c>
      <c r="B353" t="s">
        <v>18</v>
      </c>
      <c r="C353">
        <v>21483</v>
      </c>
      <c r="D353">
        <v>1774329</v>
      </c>
      <c r="E353">
        <v>17</v>
      </c>
      <c r="F353">
        <v>1268</v>
      </c>
      <c r="G353">
        <v>1129</v>
      </c>
      <c r="H353" cm="1">
        <f t="array" ref="H353">SUMPRODUCT((I353:I1351=22)*(D353:D1351))</f>
        <v>44976322.5</v>
      </c>
      <c r="I353">
        <f>WEEKNUM(Слияние1[[#This Row],[Дата]],2)</f>
        <v>21</v>
      </c>
      <c r="J353" s="15">
        <f>Слияние1[[#This Row],[Товарооборот, руб]] / SUM(Слияние1[Товарооборот, руб])</f>
        <v>3.5755754921957481E-4</v>
      </c>
    </row>
    <row r="354" spans="1:10" x14ac:dyDescent="0.3">
      <c r="A354" s="13">
        <v>43981</v>
      </c>
      <c r="B354" t="s">
        <v>23</v>
      </c>
      <c r="C354">
        <v>20688</v>
      </c>
      <c r="D354">
        <v>1773154.5</v>
      </c>
      <c r="E354">
        <v>18</v>
      </c>
      <c r="F354">
        <v>1216</v>
      </c>
      <c r="G354">
        <v>1101</v>
      </c>
      <c r="H354" cm="1">
        <f t="array" ref="H354">SUMPRODUCT((I354:I1352=22)*(D354:D1352))</f>
        <v>44976322.5</v>
      </c>
      <c r="I354">
        <f>WEEKNUM(Слияние1[[#This Row],[Дата]],2)</f>
        <v>22</v>
      </c>
      <c r="J354" s="15">
        <f>Слияние1[[#This Row],[Товарооборот, руб]] / SUM(Слияние1[Товарооборот, руб])</f>
        <v>3.5732086744209249E-4</v>
      </c>
    </row>
    <row r="355" spans="1:10" x14ac:dyDescent="0.3">
      <c r="A355" s="13">
        <v>43980</v>
      </c>
      <c r="B355" t="s">
        <v>18</v>
      </c>
      <c r="C355">
        <v>19647</v>
      </c>
      <c r="D355">
        <v>1764669</v>
      </c>
      <c r="E355">
        <v>17</v>
      </c>
      <c r="F355">
        <v>1296</v>
      </c>
      <c r="G355">
        <v>1153</v>
      </c>
      <c r="H355" cm="1">
        <f t="array" ref="H355">SUMPRODUCT((I355:I1353=22)*(D355:D1353))</f>
        <v>43203168</v>
      </c>
      <c r="I355">
        <f>WEEKNUM(Слияние1[[#This Row],[Дата]],2)</f>
        <v>22</v>
      </c>
      <c r="J355" s="15">
        <f>Слияние1[[#This Row],[Товарооборот, руб]] / SUM(Слияние1[Товарооборот, руб])</f>
        <v>3.5561089449800899E-4</v>
      </c>
    </row>
    <row r="356" spans="1:10" x14ac:dyDescent="0.3">
      <c r="A356" s="13">
        <v>43953</v>
      </c>
      <c r="B356" t="s">
        <v>20</v>
      </c>
      <c r="C356">
        <v>18427.5</v>
      </c>
      <c r="D356">
        <v>1682851.5</v>
      </c>
      <c r="E356">
        <v>19</v>
      </c>
      <c r="F356">
        <v>1206</v>
      </c>
      <c r="G356">
        <v>1080</v>
      </c>
      <c r="H356" cm="1">
        <f t="array" ref="H356">SUMPRODUCT((I356:I1354=22)*(D356:D1354))</f>
        <v>41438499</v>
      </c>
      <c r="I356">
        <f>WEEKNUM(Слияние1[[#This Row],[Дата]],2)</f>
        <v>18</v>
      </c>
      <c r="J356" s="15">
        <f>Слияние1[[#This Row],[Товарооборот, руб]] / SUM(Слияние1[Товарооборот, руб])</f>
        <v>3.3912327310238704E-4</v>
      </c>
    </row>
    <row r="357" spans="1:10" x14ac:dyDescent="0.3">
      <c r="A357" s="13">
        <v>43981</v>
      </c>
      <c r="B357" t="s">
        <v>19</v>
      </c>
      <c r="C357">
        <v>17946</v>
      </c>
      <c r="D357">
        <v>1609090.5</v>
      </c>
      <c r="E357">
        <v>16</v>
      </c>
      <c r="F357">
        <v>1048</v>
      </c>
      <c r="G357">
        <v>918</v>
      </c>
      <c r="H357" cm="1">
        <f t="array" ref="H357">SUMPRODUCT((I357:I1355=22)*(D357:D1355))</f>
        <v>41438499</v>
      </c>
      <c r="I357">
        <f>WEEKNUM(Слияние1[[#This Row],[Дата]],2)</f>
        <v>22</v>
      </c>
      <c r="J357" s="15">
        <f>Слияние1[[#This Row],[Товарооборот, руб]] / SUM(Слияние1[Товарооборот, руб])</f>
        <v>3.24259173835574E-4</v>
      </c>
    </row>
    <row r="358" spans="1:10" x14ac:dyDescent="0.3">
      <c r="A358" s="13">
        <v>43978</v>
      </c>
      <c r="B358" t="s">
        <v>18</v>
      </c>
      <c r="C358">
        <v>18069</v>
      </c>
      <c r="D358">
        <v>1603084.5</v>
      </c>
      <c r="E358">
        <v>17</v>
      </c>
      <c r="F358">
        <v>1203</v>
      </c>
      <c r="G358">
        <v>1077</v>
      </c>
      <c r="H358" cm="1">
        <f t="array" ref="H358">SUMPRODUCT((I358:I1356=22)*(D358:D1356))</f>
        <v>39829408.5</v>
      </c>
      <c r="I358">
        <f>WEEKNUM(Слияние1[[#This Row],[Дата]],2)</f>
        <v>22</v>
      </c>
      <c r="J358" s="15">
        <f>Слияние1[[#This Row],[Товарооборот, руб]] / SUM(Слияние1[Товарооборот, руб])</f>
        <v>3.2304886242173097E-4</v>
      </c>
    </row>
    <row r="359" spans="1:10" x14ac:dyDescent="0.3">
      <c r="A359" s="13">
        <v>43967</v>
      </c>
      <c r="B359" t="s">
        <v>18</v>
      </c>
      <c r="C359">
        <v>18600</v>
      </c>
      <c r="D359">
        <v>1601425.5</v>
      </c>
      <c r="E359">
        <v>15</v>
      </c>
      <c r="F359">
        <v>1111</v>
      </c>
      <c r="G359">
        <v>992</v>
      </c>
      <c r="H359" cm="1">
        <f t="array" ref="H359">SUMPRODUCT((I359:I1357=22)*(D359:D1357))</f>
        <v>38226324</v>
      </c>
      <c r="I359">
        <f>WEEKNUM(Слияние1[[#This Row],[Дата]],2)</f>
        <v>20</v>
      </c>
      <c r="J359" s="15">
        <f>Слияние1[[#This Row],[Товарооборот, руб]] / SUM(Слияние1[Товарооборот, руб])</f>
        <v>3.2271454563259248E-4</v>
      </c>
    </row>
    <row r="360" spans="1:10" x14ac:dyDescent="0.3">
      <c r="A360" s="13">
        <v>43982</v>
      </c>
      <c r="B360" t="s">
        <v>18</v>
      </c>
      <c r="C360">
        <v>17689.5</v>
      </c>
      <c r="D360">
        <v>1592119.5</v>
      </c>
      <c r="E360">
        <v>17</v>
      </c>
      <c r="F360">
        <v>1186</v>
      </c>
      <c r="G360">
        <v>1054</v>
      </c>
      <c r="H360" cm="1">
        <f t="array" ref="H360">SUMPRODUCT((I360:I1358=22)*(D360:D1358))</f>
        <v>38226324</v>
      </c>
      <c r="I360">
        <f>WEEKNUM(Слияние1[[#This Row],[Дата]],2)</f>
        <v>22</v>
      </c>
      <c r="J360" s="15">
        <f>Слияние1[[#This Row],[Товарооборот, руб]] / SUM(Слияние1[Товарооборот, руб])</f>
        <v>3.2083922794740705E-4</v>
      </c>
    </row>
    <row r="361" spans="1:10" x14ac:dyDescent="0.3">
      <c r="A361" s="13">
        <v>43983</v>
      </c>
      <c r="B361" t="s">
        <v>19</v>
      </c>
      <c r="C361">
        <v>16476</v>
      </c>
      <c r="D361">
        <v>1565632.5</v>
      </c>
      <c r="E361">
        <v>16</v>
      </c>
      <c r="F361">
        <v>1019</v>
      </c>
      <c r="G361">
        <v>895</v>
      </c>
      <c r="H361" cm="1">
        <f t="array" ref="H361">SUMPRODUCT((I361:I1359=22)*(D361:D1359))</f>
        <v>36634204.5</v>
      </c>
      <c r="I361">
        <f>WEEKNUM(Слияние1[[#This Row],[Дата]],2)</f>
        <v>23</v>
      </c>
      <c r="J361" s="15">
        <f>Слияние1[[#This Row],[Товарооборот, руб]] / SUM(Слияние1[Товарооборот, руб])</f>
        <v>3.1550164579315104E-4</v>
      </c>
    </row>
    <row r="362" spans="1:10" x14ac:dyDescent="0.3">
      <c r="A362" s="13">
        <v>43980</v>
      </c>
      <c r="B362" t="s">
        <v>19</v>
      </c>
      <c r="C362">
        <v>17052</v>
      </c>
      <c r="D362">
        <v>1549020</v>
      </c>
      <c r="E362">
        <v>16</v>
      </c>
      <c r="F362">
        <v>981</v>
      </c>
      <c r="G362">
        <v>859</v>
      </c>
      <c r="H362" cm="1">
        <f t="array" ref="H362">SUMPRODUCT((I362:I1360=22)*(D362:D1360))</f>
        <v>36634204.5</v>
      </c>
      <c r="I362">
        <f>WEEKNUM(Слияние1[[#This Row],[Дата]],2)</f>
        <v>22</v>
      </c>
      <c r="J362" s="15">
        <f>Слияние1[[#This Row],[Товарооборот, руб]] / SUM(Слияние1[Товарооборот, руб])</f>
        <v>3.1215394376809809E-4</v>
      </c>
    </row>
    <row r="363" spans="1:10" x14ac:dyDescent="0.3">
      <c r="A363" s="13">
        <v>43975</v>
      </c>
      <c r="B363" t="s">
        <v>18</v>
      </c>
      <c r="C363">
        <v>18075</v>
      </c>
      <c r="D363">
        <v>1548099</v>
      </c>
      <c r="E363">
        <v>17</v>
      </c>
      <c r="F363">
        <v>1128</v>
      </c>
      <c r="G363">
        <v>1001</v>
      </c>
      <c r="H363" cm="1">
        <f t="array" ref="H363">SUMPRODUCT((I363:I1361=22)*(D363:D1361))</f>
        <v>35085184.5</v>
      </c>
      <c r="I363">
        <f>WEEKNUM(Слияние1[[#This Row],[Дата]],2)</f>
        <v>21</v>
      </c>
      <c r="J363" s="15">
        <f>Слияние1[[#This Row],[Товарооборот, руб]] / SUM(Слияние1[Товарооборот, руб])</f>
        <v>3.11968346563278E-4</v>
      </c>
    </row>
    <row r="364" spans="1:10" x14ac:dyDescent="0.3">
      <c r="A364" s="13">
        <v>43983</v>
      </c>
      <c r="B364" t="s">
        <v>18</v>
      </c>
      <c r="C364">
        <v>16687.5</v>
      </c>
      <c r="D364">
        <v>1526608.5</v>
      </c>
      <c r="E364">
        <v>17</v>
      </c>
      <c r="F364">
        <v>1185</v>
      </c>
      <c r="G364">
        <v>1042</v>
      </c>
      <c r="H364" cm="1">
        <f t="array" ref="H364">SUMPRODUCT((I364:I1362=22)*(D364:D1362))</f>
        <v>35085184.5</v>
      </c>
      <c r="I364">
        <f>WEEKNUM(Слияние1[[#This Row],[Дата]],2)</f>
        <v>23</v>
      </c>
      <c r="J364" s="15">
        <f>Слияние1[[#This Row],[Товарооборот, руб]] / SUM(Слияние1[Товарооборот, руб])</f>
        <v>3.0763764435894991E-4</v>
      </c>
    </row>
    <row r="365" spans="1:10" x14ac:dyDescent="0.3">
      <c r="A365" s="13">
        <v>43976</v>
      </c>
      <c r="B365" t="s">
        <v>18</v>
      </c>
      <c r="C365">
        <v>17211</v>
      </c>
      <c r="D365">
        <v>1507867.5</v>
      </c>
      <c r="E365">
        <v>17</v>
      </c>
      <c r="F365">
        <v>1142</v>
      </c>
      <c r="G365">
        <v>1020</v>
      </c>
      <c r="H365" cm="1">
        <f t="array" ref="H365">SUMPRODUCT((I365:I1363=22)*(D365:D1363))</f>
        <v>35085184.5</v>
      </c>
      <c r="I365">
        <f>WEEKNUM(Слияние1[[#This Row],[Дата]],2)</f>
        <v>22</v>
      </c>
      <c r="J365" s="15">
        <f>Слияние1[[#This Row],[Товарооборот, руб]] / SUM(Слияние1[Товарооборот, руб])</f>
        <v>3.0386101328888117E-4</v>
      </c>
    </row>
    <row r="366" spans="1:10" x14ac:dyDescent="0.3">
      <c r="A366" s="13">
        <v>43977</v>
      </c>
      <c r="B366" t="s">
        <v>18</v>
      </c>
      <c r="C366">
        <v>17391</v>
      </c>
      <c r="D366">
        <v>1489132.5</v>
      </c>
      <c r="E366">
        <v>17</v>
      </c>
      <c r="F366">
        <v>1140</v>
      </c>
      <c r="G366">
        <v>1016</v>
      </c>
      <c r="H366" cm="1">
        <f t="array" ref="H366">SUMPRODUCT((I366:I1364=22)*(D366:D1364))</f>
        <v>33577317</v>
      </c>
      <c r="I366">
        <f>WEEKNUM(Слияние1[[#This Row],[Дата]],2)</f>
        <v>22</v>
      </c>
      <c r="J366" s="15">
        <f>Слияние1[[#This Row],[Товарооборот, руб]] / SUM(Слияние1[Товарооборот, руб])</f>
        <v>3.0008559132112391E-4</v>
      </c>
    </row>
    <row r="367" spans="1:10" x14ac:dyDescent="0.3">
      <c r="A367" s="13">
        <v>43979</v>
      </c>
      <c r="B367" t="s">
        <v>18</v>
      </c>
      <c r="C367">
        <v>16500</v>
      </c>
      <c r="D367">
        <v>1487928</v>
      </c>
      <c r="E367">
        <v>17</v>
      </c>
      <c r="F367">
        <v>1097</v>
      </c>
      <c r="G367">
        <v>968</v>
      </c>
      <c r="H367" cm="1">
        <f t="array" ref="H367">SUMPRODUCT((I367:I1365=22)*(D367:D1365))</f>
        <v>32088184.5</v>
      </c>
      <c r="I367">
        <f>WEEKNUM(Слияние1[[#This Row],[Дата]],2)</f>
        <v>22</v>
      </c>
      <c r="J367" s="15">
        <f>Слияние1[[#This Row],[Товарооборот, руб]] / SUM(Слияние1[Товарооборот, руб])</f>
        <v>2.9984286403208392E-4</v>
      </c>
    </row>
    <row r="368" spans="1:10" x14ac:dyDescent="0.3">
      <c r="A368" s="13">
        <v>43961</v>
      </c>
      <c r="B368" t="s">
        <v>18</v>
      </c>
      <c r="C368">
        <v>16435.5</v>
      </c>
      <c r="D368">
        <v>1471537.5</v>
      </c>
      <c r="E368">
        <v>15</v>
      </c>
      <c r="F368">
        <v>950</v>
      </c>
      <c r="G368">
        <v>848</v>
      </c>
      <c r="H368" cm="1">
        <f t="array" ref="H368">SUMPRODUCT((I368:I1366=22)*(D368:D1366))</f>
        <v>30600256.5</v>
      </c>
      <c r="I368">
        <f>WEEKNUM(Слияние1[[#This Row],[Дата]],2)</f>
        <v>19</v>
      </c>
      <c r="J368" s="15">
        <f>Слияние1[[#This Row],[Товарооборот, руб]] / SUM(Слияние1[Товарооборот, руб])</f>
        <v>2.9653989879255765E-4</v>
      </c>
    </row>
    <row r="369" spans="1:10" x14ac:dyDescent="0.3">
      <c r="A369" s="13">
        <v>43952</v>
      </c>
      <c r="B369" t="s">
        <v>18</v>
      </c>
      <c r="C369">
        <v>17113.5</v>
      </c>
      <c r="D369">
        <v>1465842</v>
      </c>
      <c r="E369">
        <v>15</v>
      </c>
      <c r="F369">
        <v>996</v>
      </c>
      <c r="G369">
        <v>888</v>
      </c>
      <c r="H369" cm="1">
        <f t="array" ref="H369">SUMPRODUCT((I369:I1367=22)*(D369:D1367))</f>
        <v>30600256.5</v>
      </c>
      <c r="I369">
        <f>WEEKNUM(Слияние1[[#This Row],[Дата]],2)</f>
        <v>18</v>
      </c>
      <c r="J369" s="15">
        <f>Слияние1[[#This Row],[Товарооборот, руб]] / SUM(Слияние1[Товарооборот, руб])</f>
        <v>2.9539215842333636E-4</v>
      </c>
    </row>
    <row r="370" spans="1:10" x14ac:dyDescent="0.3">
      <c r="A370" s="13">
        <v>43974</v>
      </c>
      <c r="B370" t="s">
        <v>23</v>
      </c>
      <c r="C370">
        <v>17943</v>
      </c>
      <c r="D370">
        <v>1457391</v>
      </c>
      <c r="E370">
        <v>18</v>
      </c>
      <c r="F370">
        <v>1031</v>
      </c>
      <c r="G370">
        <v>918</v>
      </c>
      <c r="H370" cm="1">
        <f t="array" ref="H370">SUMPRODUCT((I370:I1368=22)*(D370:D1368))</f>
        <v>30600256.5</v>
      </c>
      <c r="I370">
        <f>WEEKNUM(Слияние1[[#This Row],[Дата]],2)</f>
        <v>21</v>
      </c>
      <c r="J370" s="15">
        <f>Слияние1[[#This Row],[Товарооборот, руб]] / SUM(Слияние1[Товарооборот, руб])</f>
        <v>2.9368913781754419E-4</v>
      </c>
    </row>
    <row r="371" spans="1:10" x14ac:dyDescent="0.3">
      <c r="A371" s="13">
        <v>43973</v>
      </c>
      <c r="B371" t="s">
        <v>12</v>
      </c>
      <c r="C371">
        <v>18036</v>
      </c>
      <c r="D371">
        <v>1455049.5</v>
      </c>
      <c r="E371">
        <v>10</v>
      </c>
      <c r="F371">
        <v>965</v>
      </c>
      <c r="G371">
        <v>861</v>
      </c>
      <c r="H371" cm="1">
        <f t="array" ref="H371">SUMPRODUCT((I371:I1369=22)*(D371:D1369))</f>
        <v>30600256.5</v>
      </c>
      <c r="I371">
        <f>WEEKNUM(Слияние1[[#This Row],[Дата]],2)</f>
        <v>21</v>
      </c>
      <c r="J371" s="15">
        <f>Слияние1[[#This Row],[Товарооборот, руб]] / SUM(Слияние1[Товарооборот, руб])</f>
        <v>2.9321728564046898E-4</v>
      </c>
    </row>
    <row r="372" spans="1:10" x14ac:dyDescent="0.3">
      <c r="A372" s="13">
        <v>43980</v>
      </c>
      <c r="B372" t="s">
        <v>23</v>
      </c>
      <c r="C372">
        <v>16878</v>
      </c>
      <c r="D372">
        <v>1438255.5</v>
      </c>
      <c r="E372">
        <v>18</v>
      </c>
      <c r="F372">
        <v>1014</v>
      </c>
      <c r="G372">
        <v>893</v>
      </c>
      <c r="H372" cm="1">
        <f t="array" ref="H372">SUMPRODUCT((I372:I1370=22)*(D372:D1370))</f>
        <v>30600256.5</v>
      </c>
      <c r="I372">
        <f>WEEKNUM(Слияние1[[#This Row],[Дата]],2)</f>
        <v>22</v>
      </c>
      <c r="J372" s="15">
        <f>Слияние1[[#This Row],[Товарооборот, руб]] / SUM(Слияние1[Товарооборот, руб])</f>
        <v>2.8983300827049218E-4</v>
      </c>
    </row>
    <row r="373" spans="1:10" x14ac:dyDescent="0.3">
      <c r="A373" s="13">
        <v>43971</v>
      </c>
      <c r="B373" t="s">
        <v>18</v>
      </c>
      <c r="C373">
        <v>17329.5</v>
      </c>
      <c r="D373">
        <v>1430254.5</v>
      </c>
      <c r="E373">
        <v>16</v>
      </c>
      <c r="F373">
        <v>1050</v>
      </c>
      <c r="G373">
        <v>938</v>
      </c>
      <c r="H373" cm="1">
        <f t="array" ref="H373">SUMPRODUCT((I373:I1371=22)*(D373:D1371))</f>
        <v>29162001</v>
      </c>
      <c r="I373">
        <f>WEEKNUM(Слияние1[[#This Row],[Дата]],2)</f>
        <v>21</v>
      </c>
      <c r="J373" s="15">
        <f>Слияние1[[#This Row],[Товарооборот, руб]] / SUM(Слияние1[Товарооборот, руб])</f>
        <v>2.882206703380649E-4</v>
      </c>
    </row>
    <row r="374" spans="1:10" x14ac:dyDescent="0.3">
      <c r="A374" s="13">
        <v>43982</v>
      </c>
      <c r="B374" t="s">
        <v>23</v>
      </c>
      <c r="C374">
        <v>16143</v>
      </c>
      <c r="D374">
        <v>1423410</v>
      </c>
      <c r="E374">
        <v>18</v>
      </c>
      <c r="F374">
        <v>1029</v>
      </c>
      <c r="G374">
        <v>925</v>
      </c>
      <c r="H374" cm="1">
        <f t="array" ref="H374">SUMPRODUCT((I374:I1372=22)*(D374:D1372))</f>
        <v>29162001</v>
      </c>
      <c r="I374">
        <f>WEEKNUM(Слияние1[[#This Row],[Дата]],2)</f>
        <v>22</v>
      </c>
      <c r="J374" s="15">
        <f>Слияние1[[#This Row],[Товарооборот, руб]] / SUM(Слияние1[Товарооборот, руб])</f>
        <v>2.868413868761853E-4</v>
      </c>
    </row>
    <row r="375" spans="1:10" x14ac:dyDescent="0.3">
      <c r="A375" s="13">
        <v>43973</v>
      </c>
      <c r="B375" t="s">
        <v>19</v>
      </c>
      <c r="C375">
        <v>15802.5</v>
      </c>
      <c r="D375">
        <v>1411909.5</v>
      </c>
      <c r="E375">
        <v>15</v>
      </c>
      <c r="F375">
        <v>903</v>
      </c>
      <c r="G375">
        <v>792</v>
      </c>
      <c r="H375" cm="1">
        <f t="array" ref="H375">SUMPRODUCT((I375:I1373=22)*(D375:D1373))</f>
        <v>27738591</v>
      </c>
      <c r="I375">
        <f>WEEKNUM(Слияние1[[#This Row],[Дата]],2)</f>
        <v>21</v>
      </c>
      <c r="J375" s="15">
        <f>Слияние1[[#This Row],[Товарооборот, руб]] / SUM(Слияние1[Товарооборот, руб])</f>
        <v>2.845238400205572E-4</v>
      </c>
    </row>
    <row r="376" spans="1:10" x14ac:dyDescent="0.3">
      <c r="A376" s="13">
        <v>43970</v>
      </c>
      <c r="B376" t="s">
        <v>19</v>
      </c>
      <c r="C376">
        <v>16237.5</v>
      </c>
      <c r="D376">
        <v>1403047.5</v>
      </c>
      <c r="E376">
        <v>15</v>
      </c>
      <c r="F376">
        <v>930</v>
      </c>
      <c r="G376">
        <v>827</v>
      </c>
      <c r="H376" cm="1">
        <f t="array" ref="H376">SUMPRODUCT((I376:I1374=22)*(D376:D1374))</f>
        <v>27738591</v>
      </c>
      <c r="I376">
        <f>WEEKNUM(Слияние1[[#This Row],[Дата]],2)</f>
        <v>21</v>
      </c>
      <c r="J376" s="15">
        <f>Слияние1[[#This Row],[Товарооборот, руб]] / SUM(Слияние1[Товарооборот, руб])</f>
        <v>2.8273799590642512E-4</v>
      </c>
    </row>
    <row r="377" spans="1:10" x14ac:dyDescent="0.3">
      <c r="A377" s="13">
        <v>43973</v>
      </c>
      <c r="B377" t="s">
        <v>23</v>
      </c>
      <c r="C377">
        <v>17008.5</v>
      </c>
      <c r="D377">
        <v>1398771</v>
      </c>
      <c r="E377">
        <v>18</v>
      </c>
      <c r="F377">
        <v>985</v>
      </c>
      <c r="G377">
        <v>861</v>
      </c>
      <c r="H377" cm="1">
        <f t="array" ref="H377">SUMPRODUCT((I377:I1375=22)*(D377:D1375))</f>
        <v>27738591</v>
      </c>
      <c r="I377">
        <f>WEEKNUM(Слияние1[[#This Row],[Дата]],2)</f>
        <v>21</v>
      </c>
      <c r="J377" s="15">
        <f>Слияние1[[#This Row],[Товарооборот, руб]] / SUM(Слияние1[Товарооборот, руб])</f>
        <v>2.8187620823388101E-4</v>
      </c>
    </row>
    <row r="378" spans="1:10" x14ac:dyDescent="0.3">
      <c r="A378" s="13">
        <v>43979</v>
      </c>
      <c r="B378" t="s">
        <v>23</v>
      </c>
      <c r="C378">
        <v>15678</v>
      </c>
      <c r="D378">
        <v>1387443</v>
      </c>
      <c r="E378">
        <v>18</v>
      </c>
      <c r="F378">
        <v>1020</v>
      </c>
      <c r="G378">
        <v>911</v>
      </c>
      <c r="H378" cm="1">
        <f t="array" ref="H378">SUMPRODUCT((I378:I1376=22)*(D378:D1376))</f>
        <v>27738591</v>
      </c>
      <c r="I378">
        <f>WEEKNUM(Слияние1[[#This Row],[Дата]],2)</f>
        <v>22</v>
      </c>
      <c r="J378" s="15">
        <f>Слияние1[[#This Row],[Товарооборот, руб]] / SUM(Слияние1[Товарооборот, руб])</f>
        <v>2.7959342306970944E-4</v>
      </c>
    </row>
    <row r="379" spans="1:10" x14ac:dyDescent="0.3">
      <c r="A379" s="13">
        <v>43975</v>
      </c>
      <c r="B379" t="s">
        <v>23</v>
      </c>
      <c r="C379">
        <v>17197.5</v>
      </c>
      <c r="D379">
        <v>1386262.5</v>
      </c>
      <c r="E379">
        <v>18</v>
      </c>
      <c r="F379">
        <v>1006</v>
      </c>
      <c r="G379">
        <v>904</v>
      </c>
      <c r="H379" cm="1">
        <f t="array" ref="H379">SUMPRODUCT((I379:I1377=22)*(D379:D1377))</f>
        <v>26351148</v>
      </c>
      <c r="I379">
        <f>WEEKNUM(Слияние1[[#This Row],[Дата]],2)</f>
        <v>21</v>
      </c>
      <c r="J379" s="15">
        <f>Слияние1[[#This Row],[Товарооборот, руб]] / SUM(Слияние1[Товарооборот, руб])</f>
        <v>2.7935553218991563E-4</v>
      </c>
    </row>
    <row r="380" spans="1:10" x14ac:dyDescent="0.3">
      <c r="A380" s="13">
        <v>43956</v>
      </c>
      <c r="B380" t="s">
        <v>18</v>
      </c>
      <c r="C380">
        <v>15987</v>
      </c>
      <c r="D380">
        <v>1384179</v>
      </c>
      <c r="E380">
        <v>15</v>
      </c>
      <c r="F380">
        <v>922</v>
      </c>
      <c r="G380">
        <v>823</v>
      </c>
      <c r="H380" cm="1">
        <f t="array" ref="H380">SUMPRODUCT((I380:I1378=22)*(D380:D1378))</f>
        <v>26351148</v>
      </c>
      <c r="I380">
        <f>WEEKNUM(Слияние1[[#This Row],[Дата]],2)</f>
        <v>19</v>
      </c>
      <c r="J380" s="15">
        <f>Слияние1[[#This Row],[Товарооборот, руб]] / SUM(Слияние1[Товарооборот, руб])</f>
        <v>2.7893567141223631E-4</v>
      </c>
    </row>
    <row r="381" spans="1:10" x14ac:dyDescent="0.3">
      <c r="A381" s="13">
        <v>43972</v>
      </c>
      <c r="B381" t="s">
        <v>18</v>
      </c>
      <c r="C381">
        <v>16554</v>
      </c>
      <c r="D381">
        <v>1380751.5</v>
      </c>
      <c r="E381">
        <v>17</v>
      </c>
      <c r="F381">
        <v>1045</v>
      </c>
      <c r="G381">
        <v>930</v>
      </c>
      <c r="H381" cm="1">
        <f t="array" ref="H381">SUMPRODUCT((I381:I1379=22)*(D381:D1379))</f>
        <v>26351148</v>
      </c>
      <c r="I381">
        <f>WEEKNUM(Слияние1[[#This Row],[Дата]],2)</f>
        <v>21</v>
      </c>
      <c r="J381" s="15">
        <f>Слияние1[[#This Row],[Товарооборот, руб]] / SUM(Слияние1[Товарооборот, руб])</f>
        <v>2.7824497171677391E-4</v>
      </c>
    </row>
    <row r="382" spans="1:10" x14ac:dyDescent="0.3">
      <c r="A382" s="13">
        <v>43968</v>
      </c>
      <c r="B382" t="s">
        <v>18</v>
      </c>
      <c r="C382">
        <v>15609</v>
      </c>
      <c r="D382">
        <v>1377577.5</v>
      </c>
      <c r="E382">
        <v>15</v>
      </c>
      <c r="F382">
        <v>971</v>
      </c>
      <c r="G382">
        <v>856</v>
      </c>
      <c r="H382" cm="1">
        <f t="array" ref="H382">SUMPRODUCT((I382:I1380=22)*(D382:D1380))</f>
        <v>26351148</v>
      </c>
      <c r="I382">
        <f>WEEKNUM(Слияние1[[#This Row],[Дата]],2)</f>
        <v>20</v>
      </c>
      <c r="J382" s="15">
        <f>Слияние1[[#This Row],[Товарооборот, руб]] / SUM(Слияние1[Товарооборот, руб])</f>
        <v>2.7760535659397369E-4</v>
      </c>
    </row>
    <row r="383" spans="1:10" x14ac:dyDescent="0.3">
      <c r="A383" s="13">
        <v>43966</v>
      </c>
      <c r="B383" t="s">
        <v>18</v>
      </c>
      <c r="C383">
        <v>16498.5</v>
      </c>
      <c r="D383">
        <v>1370482.5</v>
      </c>
      <c r="E383">
        <v>15</v>
      </c>
      <c r="F383">
        <v>980</v>
      </c>
      <c r="G383">
        <v>867</v>
      </c>
      <c r="H383" cm="1">
        <f t="array" ref="H383">SUMPRODUCT((I383:I1381=22)*(D383:D1381))</f>
        <v>26351148</v>
      </c>
      <c r="I383">
        <f>WEEKNUM(Слияние1[[#This Row],[Дата]],2)</f>
        <v>20</v>
      </c>
      <c r="J383" s="15">
        <f>Слияние1[[#This Row],[Товарооборот, руб]] / SUM(Слияние1[Товарооборот, руб])</f>
        <v>2.7617559311058769E-4</v>
      </c>
    </row>
    <row r="384" spans="1:10" x14ac:dyDescent="0.3">
      <c r="A384" s="13">
        <v>43970</v>
      </c>
      <c r="B384" t="s">
        <v>18</v>
      </c>
      <c r="C384">
        <v>16638</v>
      </c>
      <c r="D384">
        <v>1364847</v>
      </c>
      <c r="E384">
        <v>16</v>
      </c>
      <c r="F384">
        <v>1012</v>
      </c>
      <c r="G384">
        <v>900</v>
      </c>
      <c r="H384" cm="1">
        <f t="array" ref="H384">SUMPRODUCT((I384:I1382=22)*(D384:D1382))</f>
        <v>26351148</v>
      </c>
      <c r="I384">
        <f>WEEKNUM(Слияние1[[#This Row],[Дата]],2)</f>
        <v>21</v>
      </c>
      <c r="J384" s="15">
        <f>Слияние1[[#This Row],[Товарооборот, руб]] / SUM(Слияние1[Товарооборот, руб])</f>
        <v>2.7503994376448169E-4</v>
      </c>
    </row>
    <row r="385" spans="1:10" x14ac:dyDescent="0.3">
      <c r="A385" s="13">
        <v>43978</v>
      </c>
      <c r="B385" t="s">
        <v>23</v>
      </c>
      <c r="C385">
        <v>15276</v>
      </c>
      <c r="D385">
        <v>1350199.5</v>
      </c>
      <c r="E385">
        <v>18</v>
      </c>
      <c r="F385">
        <v>962</v>
      </c>
      <c r="G385">
        <v>859</v>
      </c>
      <c r="H385" cm="1">
        <f t="array" ref="H385">SUMPRODUCT((I385:I1383=22)*(D385:D1383))</f>
        <v>26351148</v>
      </c>
      <c r="I385">
        <f>WEEKNUM(Слияние1[[#This Row],[Дата]],2)</f>
        <v>22</v>
      </c>
      <c r="J385" s="15">
        <f>Слияние1[[#This Row],[Товарооборот, руб]] / SUM(Слияние1[Товарооборот, руб])</f>
        <v>2.7208822274645531E-4</v>
      </c>
    </row>
    <row r="386" spans="1:10" x14ac:dyDescent="0.3">
      <c r="A386" s="13">
        <v>43982</v>
      </c>
      <c r="B386" t="s">
        <v>19</v>
      </c>
      <c r="C386">
        <v>14808</v>
      </c>
      <c r="D386">
        <v>1336789.5</v>
      </c>
      <c r="E386">
        <v>16</v>
      </c>
      <c r="F386">
        <v>917</v>
      </c>
      <c r="G386">
        <v>802</v>
      </c>
      <c r="H386" cm="1">
        <f t="array" ref="H386">SUMPRODUCT((I386:I1384=22)*(D386:D1384))</f>
        <v>25000948.5</v>
      </c>
      <c r="I386">
        <f>WEEKNUM(Слияние1[[#This Row],[Дата]],2)</f>
        <v>22</v>
      </c>
      <c r="J386" s="15">
        <f>Слияние1[[#This Row],[Товарооборот, руб]] / SUM(Слияние1[Товарооборот, руб])</f>
        <v>2.6938587908018232E-4</v>
      </c>
    </row>
    <row r="387" spans="1:10" x14ac:dyDescent="0.3">
      <c r="A387" s="13">
        <v>43976</v>
      </c>
      <c r="B387" t="s">
        <v>23</v>
      </c>
      <c r="C387">
        <v>15807</v>
      </c>
      <c r="D387">
        <v>1326705</v>
      </c>
      <c r="E387">
        <v>18</v>
      </c>
      <c r="F387">
        <v>989</v>
      </c>
      <c r="G387">
        <v>887</v>
      </c>
      <c r="H387" cm="1">
        <f t="array" ref="H387">SUMPRODUCT((I387:I1385=22)*(D387:D1385))</f>
        <v>23664159</v>
      </c>
      <c r="I387">
        <f>WEEKNUM(Слияние1[[#This Row],[Дата]],2)</f>
        <v>22</v>
      </c>
      <c r="J387" s="15">
        <f>Слияние1[[#This Row],[Товарооборот, руб]] / SUM(Слияние1[Товарооборот, руб])</f>
        <v>2.6735368037007567E-4</v>
      </c>
    </row>
    <row r="388" spans="1:10" x14ac:dyDescent="0.3">
      <c r="A388" s="13">
        <v>43967</v>
      </c>
      <c r="B388" t="s">
        <v>23</v>
      </c>
      <c r="C388">
        <v>16368</v>
      </c>
      <c r="D388">
        <v>1316350.5</v>
      </c>
      <c r="E388">
        <v>16</v>
      </c>
      <c r="F388">
        <v>920</v>
      </c>
      <c r="G388">
        <v>818</v>
      </c>
      <c r="H388" cm="1">
        <f t="array" ref="H388">SUMPRODUCT((I388:I1386=22)*(D388:D1386))</f>
        <v>22337454</v>
      </c>
      <c r="I388">
        <f>WEEKNUM(Слияние1[[#This Row],[Дата]],2)</f>
        <v>20</v>
      </c>
      <c r="J388" s="15">
        <f>Слияние1[[#This Row],[Товарооборот, руб]] / SUM(Слияние1[Товарооборот, руб])</f>
        <v>2.6526707205595009E-4</v>
      </c>
    </row>
    <row r="389" spans="1:10" x14ac:dyDescent="0.3">
      <c r="A389" s="13">
        <v>43974</v>
      </c>
      <c r="B389" t="s">
        <v>19</v>
      </c>
      <c r="C389">
        <v>14167.5</v>
      </c>
      <c r="D389">
        <v>1315075.5</v>
      </c>
      <c r="E389">
        <v>15</v>
      </c>
      <c r="F389">
        <v>840</v>
      </c>
      <c r="G389">
        <v>725</v>
      </c>
      <c r="H389" cm="1">
        <f t="array" ref="H389">SUMPRODUCT((I389:I1387=22)*(D389:D1387))</f>
        <v>22337454</v>
      </c>
      <c r="I389">
        <f>WEEKNUM(Слияние1[[#This Row],[Дата]],2)</f>
        <v>21</v>
      </c>
      <c r="J389" s="15">
        <f>Слияние1[[#This Row],[Товарооборот, руб]] / SUM(Слияние1[Товарооборот, руб])</f>
        <v>2.6501013781474967E-4</v>
      </c>
    </row>
    <row r="390" spans="1:10" x14ac:dyDescent="0.3">
      <c r="A390" s="13">
        <v>43983</v>
      </c>
      <c r="B390" t="s">
        <v>23</v>
      </c>
      <c r="C390">
        <v>14238</v>
      </c>
      <c r="D390">
        <v>1293219</v>
      </c>
      <c r="E390">
        <v>18</v>
      </c>
      <c r="F390">
        <v>923</v>
      </c>
      <c r="G390">
        <v>824</v>
      </c>
      <c r="H390" cm="1">
        <f t="array" ref="H390">SUMPRODUCT((I390:I1388=22)*(D390:D1388))</f>
        <v>22337454</v>
      </c>
      <c r="I390">
        <f>WEEKNUM(Слияние1[[#This Row],[Дата]],2)</f>
        <v>23</v>
      </c>
      <c r="J390" s="15">
        <f>Слияние1[[#This Row],[Товарооборот, руб]] / SUM(Слияние1[Товарооборот, руб])</f>
        <v>2.606056803694181E-4</v>
      </c>
    </row>
    <row r="391" spans="1:10" x14ac:dyDescent="0.3">
      <c r="A391" s="13">
        <v>43980</v>
      </c>
      <c r="B391" t="s">
        <v>12</v>
      </c>
      <c r="C391">
        <v>14823</v>
      </c>
      <c r="D391">
        <v>1273464</v>
      </c>
      <c r="E391">
        <v>10</v>
      </c>
      <c r="F391">
        <v>873</v>
      </c>
      <c r="G391">
        <v>770</v>
      </c>
      <c r="H391" cm="1">
        <f t="array" ref="H391">SUMPRODUCT((I391:I1389=22)*(D391:D1389))</f>
        <v>22337454</v>
      </c>
      <c r="I391">
        <f>WEEKNUM(Слияние1[[#This Row],[Дата]],2)</f>
        <v>22</v>
      </c>
      <c r="J391" s="15">
        <f>Слияние1[[#This Row],[Товарооборот, руб]] / SUM(Слияние1[Товарооборот, руб])</f>
        <v>2.5662471100870054E-4</v>
      </c>
    </row>
    <row r="392" spans="1:10" x14ac:dyDescent="0.3">
      <c r="A392" s="13">
        <v>43959</v>
      </c>
      <c r="B392" t="s">
        <v>18</v>
      </c>
      <c r="C392">
        <v>14494.5</v>
      </c>
      <c r="D392">
        <v>1269786</v>
      </c>
      <c r="E392">
        <v>15</v>
      </c>
      <c r="F392">
        <v>879</v>
      </c>
      <c r="G392">
        <v>768</v>
      </c>
      <c r="H392" cm="1">
        <f t="array" ref="H392">SUMPRODUCT((I392:I1390=22)*(D392:D1390))</f>
        <v>21063990</v>
      </c>
      <c r="I392">
        <f>WEEKNUM(Слияние1[[#This Row],[Дата]],2)</f>
        <v>19</v>
      </c>
      <c r="J392" s="15">
        <f>Слияние1[[#This Row],[Товарооборот, руб]] / SUM(Слияние1[Товарооборот, руб])</f>
        <v>2.5588353129173168E-4</v>
      </c>
    </row>
    <row r="393" spans="1:10" x14ac:dyDescent="0.3">
      <c r="A393" s="13">
        <v>43981</v>
      </c>
      <c r="B393" t="s">
        <v>12</v>
      </c>
      <c r="C393">
        <v>14728.5</v>
      </c>
      <c r="D393">
        <v>1260483</v>
      </c>
      <c r="E393">
        <v>10</v>
      </c>
      <c r="F393">
        <v>865</v>
      </c>
      <c r="G393">
        <v>763</v>
      </c>
      <c r="H393" cm="1">
        <f t="array" ref="H393">SUMPRODUCT((I393:I1391=22)*(D393:D1391))</f>
        <v>21063990</v>
      </c>
      <c r="I393">
        <f>WEEKNUM(Слияние1[[#This Row],[Дата]],2)</f>
        <v>22</v>
      </c>
      <c r="J393" s="15">
        <f>Слияние1[[#This Row],[Товарооборот, руб]] / SUM(Слияние1[Товарооборот, руб])</f>
        <v>2.5400881815770203E-4</v>
      </c>
    </row>
    <row r="394" spans="1:10" x14ac:dyDescent="0.3">
      <c r="A394" s="13">
        <v>43969</v>
      </c>
      <c r="B394" t="s">
        <v>18</v>
      </c>
      <c r="C394">
        <v>14290.5</v>
      </c>
      <c r="D394">
        <v>1246162.5</v>
      </c>
      <c r="E394">
        <v>16</v>
      </c>
      <c r="F394">
        <v>925</v>
      </c>
      <c r="G394">
        <v>816</v>
      </c>
      <c r="H394" cm="1">
        <f t="array" ref="H394">SUMPRODUCT((I394:I1392=22)*(D394:D1392))</f>
        <v>19803507</v>
      </c>
      <c r="I394">
        <f>WEEKNUM(Слияние1[[#This Row],[Дата]],2)</f>
        <v>21</v>
      </c>
      <c r="J394" s="15">
        <f>Слияние1[[#This Row],[Товарооборот, руб]] / SUM(Слияние1[Товарооборот, руб])</f>
        <v>2.5112299321565414E-4</v>
      </c>
    </row>
    <row r="395" spans="1:10" x14ac:dyDescent="0.3">
      <c r="A395" s="13">
        <v>43964</v>
      </c>
      <c r="B395" t="s">
        <v>18</v>
      </c>
      <c r="C395">
        <v>14305.5</v>
      </c>
      <c r="D395">
        <v>1243507.5</v>
      </c>
      <c r="E395">
        <v>15</v>
      </c>
      <c r="F395">
        <v>898</v>
      </c>
      <c r="G395">
        <v>795</v>
      </c>
      <c r="H395" cm="1">
        <f t="array" ref="H395">SUMPRODUCT((I395:I1393=22)*(D395:D1393))</f>
        <v>19803507</v>
      </c>
      <c r="I395">
        <f>WEEKNUM(Слияние1[[#This Row],[Дата]],2)</f>
        <v>20</v>
      </c>
      <c r="J395" s="15">
        <f>Слияние1[[#This Row],[Товарооборот, руб]] / SUM(Слияние1[Товарооборот, руб])</f>
        <v>2.5058796544280142E-4</v>
      </c>
    </row>
    <row r="396" spans="1:10" x14ac:dyDescent="0.3">
      <c r="A396" s="13">
        <v>43974</v>
      </c>
      <c r="B396" t="s">
        <v>12</v>
      </c>
      <c r="C396">
        <v>14773.5</v>
      </c>
      <c r="D396">
        <v>1241383.5</v>
      </c>
      <c r="E396">
        <v>10</v>
      </c>
      <c r="F396">
        <v>828</v>
      </c>
      <c r="G396">
        <v>734</v>
      </c>
      <c r="H396" cm="1">
        <f t="array" ref="H396">SUMPRODUCT((I396:I1394=22)*(D396:D1394))</f>
        <v>19803507</v>
      </c>
      <c r="I396">
        <f>WEEKNUM(Слияние1[[#This Row],[Дата]],2)</f>
        <v>21</v>
      </c>
      <c r="J396" s="15">
        <f>Слияние1[[#This Row],[Товарооборот, руб]] / SUM(Слияние1[Товарооборот, руб])</f>
        <v>2.5015994322451923E-4</v>
      </c>
    </row>
    <row r="397" spans="1:10" x14ac:dyDescent="0.3">
      <c r="A397" s="13">
        <v>43979</v>
      </c>
      <c r="B397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 cm="1">
        <f t="array" ref="H397">SUMPRODUCT((I397:I1395=22)*(D397:D1395))</f>
        <v>19803507</v>
      </c>
      <c r="I397">
        <f>WEEKNUM(Слияние1[[#This Row],[Дата]],2)</f>
        <v>22</v>
      </c>
      <c r="J397" s="15">
        <f>Слияние1[[#This Row],[Товарооборот, руб]] / SUM(Слияние1[Товарооборот, руб])</f>
        <v>2.4983016056904904E-4</v>
      </c>
    </row>
    <row r="398" spans="1:10" x14ac:dyDescent="0.3">
      <c r="A398" s="13">
        <v>43969</v>
      </c>
      <c r="B398" t="s">
        <v>23</v>
      </c>
      <c r="C398">
        <v>14497.5</v>
      </c>
      <c r="D398">
        <v>1230711</v>
      </c>
      <c r="E398">
        <v>16</v>
      </c>
      <c r="F398">
        <v>864</v>
      </c>
      <c r="G398">
        <v>765</v>
      </c>
      <c r="H398" cm="1">
        <f t="array" ref="H398">SUMPRODUCT((I398:I1396=22)*(D398:D1396))</f>
        <v>18563760</v>
      </c>
      <c r="I398">
        <f>WEEKNUM(Слияние1[[#This Row],[Дата]],2)</f>
        <v>21</v>
      </c>
      <c r="J398" s="15">
        <f>Слияние1[[#This Row],[Товарооборот, руб]] / SUM(Слияние1[Товарооборот, руб])</f>
        <v>2.4800925248788253E-4</v>
      </c>
    </row>
    <row r="399" spans="1:10" x14ac:dyDescent="0.3">
      <c r="A399" s="13">
        <v>43976</v>
      </c>
      <c r="B399" t="s">
        <v>19</v>
      </c>
      <c r="C399">
        <v>13260</v>
      </c>
      <c r="D399">
        <v>1230687</v>
      </c>
      <c r="E399">
        <v>15</v>
      </c>
      <c r="F399">
        <v>835</v>
      </c>
      <c r="G399">
        <v>736</v>
      </c>
      <c r="H399" cm="1">
        <f t="array" ref="H399">SUMPRODUCT((I399:I1397=22)*(D399:D1397))</f>
        <v>18563760</v>
      </c>
      <c r="I399">
        <f>WEEKNUM(Слияние1[[#This Row],[Дата]],2)</f>
        <v>22</v>
      </c>
      <c r="J399" s="15">
        <f>Слияние1[[#This Row],[Товарооборот, руб]] / SUM(Слияние1[Товарооборот, руб])</f>
        <v>2.4800441607863641E-4</v>
      </c>
    </row>
    <row r="400" spans="1:10" x14ac:dyDescent="0.3">
      <c r="A400" s="13">
        <v>43965</v>
      </c>
      <c r="B400" t="s">
        <v>18</v>
      </c>
      <c r="C400">
        <v>14385</v>
      </c>
      <c r="D400">
        <v>1223491.5</v>
      </c>
      <c r="E400">
        <v>15</v>
      </c>
      <c r="F400">
        <v>890</v>
      </c>
      <c r="G400">
        <v>777</v>
      </c>
      <c r="H400" cm="1">
        <f t="array" ref="H400">SUMPRODUCT((I400:I1398=22)*(D400:D1398))</f>
        <v>17333073</v>
      </c>
      <c r="I400">
        <f>WEEKNUM(Слияние1[[#This Row],[Дата]],2)</f>
        <v>20</v>
      </c>
      <c r="J400" s="15">
        <f>Слияние1[[#This Row],[Товарооборот, руб]] / SUM(Слияние1[Товарооборот, руб])</f>
        <v>2.4655440013153219E-4</v>
      </c>
    </row>
    <row r="401" spans="1:10" x14ac:dyDescent="0.3">
      <c r="A401" s="13">
        <v>43960</v>
      </c>
      <c r="B401" t="s">
        <v>18</v>
      </c>
      <c r="C401">
        <v>13948.5</v>
      </c>
      <c r="D401">
        <v>1222932</v>
      </c>
      <c r="E401">
        <v>15</v>
      </c>
      <c r="F401">
        <v>849</v>
      </c>
      <c r="G401">
        <v>740</v>
      </c>
      <c r="H401" cm="1">
        <f t="array" ref="H401">SUMPRODUCT((I401:I1399=22)*(D401:D1399))</f>
        <v>17333073</v>
      </c>
      <c r="I401">
        <f>WEEKNUM(Слияние1[[#This Row],[Дата]],2)</f>
        <v>19</v>
      </c>
      <c r="J401" s="15">
        <f>Слияние1[[#This Row],[Товарооборот, руб]] / SUM(Слияние1[Товарооборот, руб])</f>
        <v>2.4644165134098188E-4</v>
      </c>
    </row>
    <row r="402" spans="1:10" x14ac:dyDescent="0.3">
      <c r="A402" s="13">
        <v>43957</v>
      </c>
      <c r="B402" t="s">
        <v>18</v>
      </c>
      <c r="C402">
        <v>14061</v>
      </c>
      <c r="D402">
        <v>1221057</v>
      </c>
      <c r="E402">
        <v>15</v>
      </c>
      <c r="F402">
        <v>839</v>
      </c>
      <c r="G402">
        <v>733</v>
      </c>
      <c r="H402" cm="1">
        <f t="array" ref="H402">SUMPRODUCT((I402:I1400=22)*(D402:D1400))</f>
        <v>17333073</v>
      </c>
      <c r="I402">
        <f>WEEKNUM(Слияние1[[#This Row],[Дата]],2)</f>
        <v>19</v>
      </c>
      <c r="J402" s="15">
        <f>Слияние1[[#This Row],[Товарооборот, руб]] / SUM(Слияние1[Товарооборот, руб])</f>
        <v>2.4606380686862826E-4</v>
      </c>
    </row>
    <row r="403" spans="1:10" x14ac:dyDescent="0.3">
      <c r="A403" s="13">
        <v>43971</v>
      </c>
      <c r="B403" t="s">
        <v>23</v>
      </c>
      <c r="C403">
        <v>14928</v>
      </c>
      <c r="D403">
        <v>1217749.5</v>
      </c>
      <c r="E403">
        <v>17</v>
      </c>
      <c r="F403">
        <v>890</v>
      </c>
      <c r="G403">
        <v>794</v>
      </c>
      <c r="H403" cm="1">
        <f t="array" ref="H403">SUMPRODUCT((I403:I1401=22)*(D403:D1401))</f>
        <v>17333073</v>
      </c>
      <c r="I403">
        <f>WEEKNUM(Слияние1[[#This Row],[Дата]],2)</f>
        <v>21</v>
      </c>
      <c r="J403" s="15">
        <f>Слияние1[[#This Row],[Товарооборот, руб]] / SUM(Слияние1[Товарооборот, руб])</f>
        <v>2.4539728921939649E-4</v>
      </c>
    </row>
    <row r="404" spans="1:10" x14ac:dyDescent="0.3">
      <c r="A404" s="13">
        <v>43961</v>
      </c>
      <c r="B404" t="s">
        <v>23</v>
      </c>
      <c r="C404">
        <v>14566.5</v>
      </c>
      <c r="D404">
        <v>1216557</v>
      </c>
      <c r="E404">
        <v>15</v>
      </c>
      <c r="F404">
        <v>792</v>
      </c>
      <c r="G404">
        <v>695</v>
      </c>
      <c r="H404" cm="1">
        <f t="array" ref="H404">SUMPRODUCT((I404:I1402=22)*(D404:D1402))</f>
        <v>17333073</v>
      </c>
      <c r="I404">
        <f>WEEKNUM(Слияние1[[#This Row],[Дата]],2)</f>
        <v>19</v>
      </c>
      <c r="J404" s="15">
        <f>Слияние1[[#This Row],[Товарооборот, руб]] / SUM(Слияние1[Товарооборот, руб])</f>
        <v>2.4515698013497964E-4</v>
      </c>
    </row>
    <row r="405" spans="1:10" x14ac:dyDescent="0.3">
      <c r="A405" s="13">
        <v>43967</v>
      </c>
      <c r="B405" t="s">
        <v>19</v>
      </c>
      <c r="C405">
        <v>13120.5</v>
      </c>
      <c r="D405">
        <v>1215033</v>
      </c>
      <c r="E405">
        <v>15</v>
      </c>
      <c r="F405">
        <v>747</v>
      </c>
      <c r="G405">
        <v>647</v>
      </c>
      <c r="H405" cm="1">
        <f t="array" ref="H405">SUMPRODUCT((I405:I1403=22)*(D405:D1403))</f>
        <v>17333073</v>
      </c>
      <c r="I405">
        <f>WEEKNUM(Слияние1[[#This Row],[Дата]],2)</f>
        <v>20</v>
      </c>
      <c r="J405" s="15">
        <f>Слияние1[[#This Row],[Товарооборот, руб]] / SUM(Слияние1[Товарооборот, руб])</f>
        <v>2.4484986814785059E-4</v>
      </c>
    </row>
    <row r="406" spans="1:10" x14ac:dyDescent="0.3">
      <c r="A406" s="13">
        <v>43978</v>
      </c>
      <c r="B406" t="s">
        <v>19</v>
      </c>
      <c r="C406">
        <v>13203</v>
      </c>
      <c r="D406">
        <v>1211457</v>
      </c>
      <c r="E406">
        <v>15</v>
      </c>
      <c r="F406">
        <v>809</v>
      </c>
      <c r="G406">
        <v>702</v>
      </c>
      <c r="H406" cm="1">
        <f t="array" ref="H406">SUMPRODUCT((I406:I1404=22)*(D406:D1404))</f>
        <v>17333073</v>
      </c>
      <c r="I406">
        <f>WEEKNUM(Слияние1[[#This Row],[Дата]],2)</f>
        <v>22</v>
      </c>
      <c r="J406" s="15">
        <f>Слияние1[[#This Row],[Товарооборот, руб]] / SUM(Слияние1[Товарооборот, руб])</f>
        <v>2.4412924317017781E-4</v>
      </c>
    </row>
    <row r="407" spans="1:10" x14ac:dyDescent="0.3">
      <c r="A407" s="13">
        <v>43977</v>
      </c>
      <c r="B407" t="s">
        <v>23</v>
      </c>
      <c r="C407">
        <v>14419.5</v>
      </c>
      <c r="D407">
        <v>1210456.5</v>
      </c>
      <c r="E407">
        <v>18</v>
      </c>
      <c r="F407">
        <v>914</v>
      </c>
      <c r="G407">
        <v>804</v>
      </c>
      <c r="H407" cm="1">
        <f t="array" ref="H407">SUMPRODUCT((I407:I1405=22)*(D407:D1405))</f>
        <v>16121616</v>
      </c>
      <c r="I407">
        <f>WEEKNUM(Слияние1[[#This Row],[Дата]],2)</f>
        <v>22</v>
      </c>
      <c r="J407" s="15">
        <f>Слияние1[[#This Row],[Товарооборот, руб]] / SUM(Слияние1[Товарооборот, руб])</f>
        <v>2.4392762535972991E-4</v>
      </c>
    </row>
    <row r="408" spans="1:10" x14ac:dyDescent="0.3">
      <c r="A408" s="13">
        <v>43961</v>
      </c>
      <c r="B408" t="s">
        <v>19</v>
      </c>
      <c r="C408">
        <v>13440</v>
      </c>
      <c r="D408">
        <v>1198285.5</v>
      </c>
      <c r="E408">
        <v>15</v>
      </c>
      <c r="F408">
        <v>706</v>
      </c>
      <c r="G408">
        <v>608</v>
      </c>
      <c r="H408" cm="1">
        <f t="array" ref="H408">SUMPRODUCT((I408:I1406=22)*(D408:D1406))</f>
        <v>14911159.5</v>
      </c>
      <c r="I408">
        <f>WEEKNUM(Слияние1[[#This Row],[Дата]],2)</f>
        <v>19</v>
      </c>
      <c r="J408" s="15">
        <f>Слияние1[[#This Row],[Товарооборот, руб]] / SUM(Слияние1[Товарооборот, руб])</f>
        <v>2.4147496132078818E-4</v>
      </c>
    </row>
    <row r="409" spans="1:10" x14ac:dyDescent="0.3">
      <c r="A409" s="13">
        <v>43975</v>
      </c>
      <c r="B409" t="s">
        <v>19</v>
      </c>
      <c r="C409">
        <v>12666</v>
      </c>
      <c r="D409">
        <v>1184865</v>
      </c>
      <c r="E409">
        <v>15</v>
      </c>
      <c r="F409">
        <v>779</v>
      </c>
      <c r="G409">
        <v>673</v>
      </c>
      <c r="H409" cm="1">
        <f t="array" ref="H409">SUMPRODUCT((I409:I1407=22)*(D409:D1407))</f>
        <v>14911159.5</v>
      </c>
      <c r="I409">
        <f>WEEKNUM(Слияние1[[#This Row],[Дата]],2)</f>
        <v>21</v>
      </c>
      <c r="J409" s="15">
        <f>Слияние1[[#This Row],[Товарооборот, руб]] / SUM(Слияние1[Товарооборот, руб])</f>
        <v>2.3877050172547E-4</v>
      </c>
    </row>
    <row r="410" spans="1:10" x14ac:dyDescent="0.3">
      <c r="A410" s="13">
        <v>43964</v>
      </c>
      <c r="B410" t="s">
        <v>23</v>
      </c>
      <c r="C410">
        <v>14643</v>
      </c>
      <c r="D410">
        <v>1172691</v>
      </c>
      <c r="E410">
        <v>15</v>
      </c>
      <c r="F410">
        <v>854</v>
      </c>
      <c r="G410">
        <v>756</v>
      </c>
      <c r="H410" cm="1">
        <f t="array" ref="H410">SUMPRODUCT((I410:I1408=22)*(D410:D1408))</f>
        <v>14911159.5</v>
      </c>
      <c r="I410">
        <f>WEEKNUM(Слияние1[[#This Row],[Дата]],2)</f>
        <v>20</v>
      </c>
      <c r="J410" s="15">
        <f>Слияние1[[#This Row],[Товарооборот, руб]] / SUM(Слияние1[Товарооборот, руб])</f>
        <v>2.3631723313537252E-4</v>
      </c>
    </row>
    <row r="411" spans="1:10" x14ac:dyDescent="0.3">
      <c r="A411" s="13">
        <v>43972</v>
      </c>
      <c r="B411" t="s">
        <v>23</v>
      </c>
      <c r="C411">
        <v>14182.5</v>
      </c>
      <c r="D411">
        <v>1172574</v>
      </c>
      <c r="E411">
        <v>18</v>
      </c>
      <c r="F411">
        <v>888</v>
      </c>
      <c r="G411">
        <v>786</v>
      </c>
      <c r="H411" cm="1">
        <f t="array" ref="H411">SUMPRODUCT((I411:I1409=22)*(D411:D1409))</f>
        <v>14911159.5</v>
      </c>
      <c r="I411">
        <f>WEEKNUM(Слияние1[[#This Row],[Дата]],2)</f>
        <v>21</v>
      </c>
      <c r="J411" s="15">
        <f>Слияние1[[#This Row],[Товарооборот, руб]] / SUM(Слияние1[Товарооборот, руб])</f>
        <v>2.3629365564029764E-4</v>
      </c>
    </row>
    <row r="412" spans="1:10" x14ac:dyDescent="0.3">
      <c r="A412" s="13">
        <v>43968</v>
      </c>
      <c r="B412" t="s">
        <v>23</v>
      </c>
      <c r="C412">
        <v>13440</v>
      </c>
      <c r="D412">
        <v>1157529</v>
      </c>
      <c r="E412">
        <v>16</v>
      </c>
      <c r="F412">
        <v>859</v>
      </c>
      <c r="G412">
        <v>746</v>
      </c>
      <c r="H412" cm="1">
        <f t="array" ref="H412">SUMPRODUCT((I412:I1410=22)*(D412:D1410))</f>
        <v>14911159.5</v>
      </c>
      <c r="I412">
        <f>WEEKNUM(Слияние1[[#This Row],[Дата]],2)</f>
        <v>20</v>
      </c>
      <c r="J412" s="15">
        <f>Слияние1[[#This Row],[Товарооборот, руб]] / SUM(Слияние1[Товарооборот, руб])</f>
        <v>2.332618315941323E-4</v>
      </c>
    </row>
    <row r="413" spans="1:10" x14ac:dyDescent="0.3">
      <c r="A413" s="13">
        <v>43977</v>
      </c>
      <c r="B413" t="s">
        <v>19</v>
      </c>
      <c r="C413">
        <v>12259.5</v>
      </c>
      <c r="D413">
        <v>1152054</v>
      </c>
      <c r="E413">
        <v>15</v>
      </c>
      <c r="F413">
        <v>812</v>
      </c>
      <c r="G413">
        <v>711</v>
      </c>
      <c r="H413" cm="1">
        <f t="array" ref="H413">SUMPRODUCT((I413:I1411=22)*(D413:D1411))</f>
        <v>14911159.5</v>
      </c>
      <c r="I413">
        <f>WEEKNUM(Слияние1[[#This Row],[Дата]],2)</f>
        <v>22</v>
      </c>
      <c r="J413" s="15">
        <f>Слияние1[[#This Row],[Товарооборот, руб]] / SUM(Слияние1[Товарооборот, руб])</f>
        <v>2.3215852573485978E-4</v>
      </c>
    </row>
    <row r="414" spans="1:10" x14ac:dyDescent="0.3">
      <c r="A414" s="13">
        <v>43966</v>
      </c>
      <c r="B414" t="s">
        <v>12</v>
      </c>
      <c r="C414">
        <v>14421</v>
      </c>
      <c r="D414">
        <v>1150579.5</v>
      </c>
      <c r="E414">
        <v>10</v>
      </c>
      <c r="F414">
        <v>743</v>
      </c>
      <c r="G414">
        <v>652</v>
      </c>
      <c r="H414" cm="1">
        <f t="array" ref="H414">SUMPRODUCT((I414:I1412=22)*(D414:D1412))</f>
        <v>13759105.5</v>
      </c>
      <c r="I414">
        <f>WEEKNUM(Слияние1[[#This Row],[Дата]],2)</f>
        <v>20</v>
      </c>
      <c r="J414" s="15">
        <f>Слияние1[[#This Row],[Товарооборот, руб]] / SUM(Слияние1[Товарооборот, руб])</f>
        <v>2.3186138884180089E-4</v>
      </c>
    </row>
    <row r="415" spans="1:10" x14ac:dyDescent="0.3">
      <c r="A415" s="13">
        <v>43956</v>
      </c>
      <c r="B415" t="s">
        <v>23</v>
      </c>
      <c r="C415">
        <v>13941</v>
      </c>
      <c r="D415">
        <v>1145575.5</v>
      </c>
      <c r="E415">
        <v>15</v>
      </c>
      <c r="F415">
        <v>750</v>
      </c>
      <c r="G415">
        <v>658</v>
      </c>
      <c r="H415" cm="1">
        <f t="array" ref="H415">SUMPRODUCT((I415:I1413=22)*(D415:D1413))</f>
        <v>13759105.5</v>
      </c>
      <c r="I415">
        <f>WEEKNUM(Слияние1[[#This Row],[Дата]],2)</f>
        <v>19</v>
      </c>
      <c r="J415" s="15">
        <f>Слияние1[[#This Row],[Товарооборот, руб]] / SUM(Слияние1[Товарооборот, руб])</f>
        <v>2.3085299751398361E-4</v>
      </c>
    </row>
    <row r="416" spans="1:10" x14ac:dyDescent="0.3">
      <c r="A416" s="13">
        <v>43952</v>
      </c>
      <c r="B416" t="s">
        <v>23</v>
      </c>
      <c r="C416">
        <v>13644</v>
      </c>
      <c r="D416">
        <v>1134444</v>
      </c>
      <c r="E416">
        <v>15</v>
      </c>
      <c r="F416">
        <v>721</v>
      </c>
      <c r="G416">
        <v>625</v>
      </c>
      <c r="H416" cm="1">
        <f t="array" ref="H416">SUMPRODUCT((I416:I1414=22)*(D416:D1414))</f>
        <v>13759105.5</v>
      </c>
      <c r="I416">
        <f>WEEKNUM(Слияние1[[#This Row],[Дата]],2)</f>
        <v>18</v>
      </c>
      <c r="J416" s="15">
        <f>Слияние1[[#This Row],[Товарооборот, руб]] / SUM(Слияние1[Товарооборот, руб])</f>
        <v>2.286098104505147E-4</v>
      </c>
    </row>
    <row r="417" spans="1:10" x14ac:dyDescent="0.3">
      <c r="A417" s="13">
        <v>43965</v>
      </c>
      <c r="B417" t="s">
        <v>23</v>
      </c>
      <c r="C417">
        <v>13810.5</v>
      </c>
      <c r="D417">
        <v>1131676.5</v>
      </c>
      <c r="E417">
        <v>16</v>
      </c>
      <c r="F417">
        <v>834</v>
      </c>
      <c r="G417">
        <v>735</v>
      </c>
      <c r="H417" cm="1">
        <f t="array" ref="H417">SUMPRODUCT((I417:I1415=22)*(D417:D1415))</f>
        <v>13759105.5</v>
      </c>
      <c r="I417">
        <f>WEEKNUM(Слияние1[[#This Row],[Дата]],2)</f>
        <v>20</v>
      </c>
      <c r="J417" s="15">
        <f>Слияние1[[#This Row],[Товарооборот, руб]] / SUM(Слияние1[Товарооборот, руб])</f>
        <v>2.2805211200932078E-4</v>
      </c>
    </row>
    <row r="418" spans="1:10" x14ac:dyDescent="0.3">
      <c r="A418" s="13">
        <v>43967</v>
      </c>
      <c r="B418" t="s">
        <v>12</v>
      </c>
      <c r="C418">
        <v>14265</v>
      </c>
      <c r="D418">
        <v>1130506.5</v>
      </c>
      <c r="E418">
        <v>10</v>
      </c>
      <c r="F418">
        <v>760</v>
      </c>
      <c r="G418">
        <v>672</v>
      </c>
      <c r="H418" cm="1">
        <f t="array" ref="H418">SUMPRODUCT((I418:I1416=22)*(D418:D1416))</f>
        <v>13759105.5</v>
      </c>
      <c r="I418">
        <f>WEEKNUM(Слияние1[[#This Row],[Дата]],2)</f>
        <v>20</v>
      </c>
      <c r="J418" s="15">
        <f>Слияние1[[#This Row],[Товарооборот, руб]] / SUM(Слияние1[Товарооборот, руб])</f>
        <v>2.2781633705857212E-4</v>
      </c>
    </row>
    <row r="419" spans="1:10" x14ac:dyDescent="0.3">
      <c r="A419" s="13">
        <v>43970</v>
      </c>
      <c r="B419" t="s">
        <v>23</v>
      </c>
      <c r="C419">
        <v>14427</v>
      </c>
      <c r="D419">
        <v>1126810.5</v>
      </c>
      <c r="E419">
        <v>17</v>
      </c>
      <c r="F419">
        <v>857</v>
      </c>
      <c r="G419">
        <v>757</v>
      </c>
      <c r="H419" cm="1">
        <f t="array" ref="H419">SUMPRODUCT((I419:I1417=22)*(D419:D1417))</f>
        <v>13759105.5</v>
      </c>
      <c r="I419">
        <f>WEEKNUM(Слияние1[[#This Row],[Дата]],2)</f>
        <v>21</v>
      </c>
      <c r="J419" s="15">
        <f>Слияние1[[#This Row],[Товарооборот, руб]] / SUM(Слияние1[Товарооборот, руб])</f>
        <v>2.2707153003466871E-4</v>
      </c>
    </row>
    <row r="420" spans="1:10" x14ac:dyDescent="0.3">
      <c r="A420" s="13">
        <v>43958</v>
      </c>
      <c r="B420" t="s">
        <v>18</v>
      </c>
      <c r="C420">
        <v>12705</v>
      </c>
      <c r="D420">
        <v>1123894.5</v>
      </c>
      <c r="E420">
        <v>15</v>
      </c>
      <c r="F420">
        <v>805</v>
      </c>
      <c r="G420">
        <v>703</v>
      </c>
      <c r="H420" cm="1">
        <f t="array" ref="H420">SUMPRODUCT((I420:I1418=22)*(D420:D1418))</f>
        <v>13759105.5</v>
      </c>
      <c r="I420">
        <f>WEEKNUM(Слияние1[[#This Row],[Дата]],2)</f>
        <v>19</v>
      </c>
      <c r="J420" s="15">
        <f>Слияние1[[#This Row],[Товарооборот, руб]] / SUM(Слияние1[Товарооборот, руб])</f>
        <v>2.2648390631126438E-4</v>
      </c>
    </row>
    <row r="421" spans="1:10" x14ac:dyDescent="0.3">
      <c r="A421" s="13">
        <v>43963</v>
      </c>
      <c r="B421" t="s">
        <v>18</v>
      </c>
      <c r="C421">
        <v>12802.5</v>
      </c>
      <c r="D421">
        <v>1123830</v>
      </c>
      <c r="E421">
        <v>15</v>
      </c>
      <c r="F421">
        <v>845</v>
      </c>
      <c r="G421">
        <v>743</v>
      </c>
      <c r="H421" cm="1">
        <f t="array" ref="H421">SUMPRODUCT((I421:I1419=22)*(D421:D1419))</f>
        <v>13759105.5</v>
      </c>
      <c r="I421">
        <f>WEEKNUM(Слияние1[[#This Row],[Дата]],2)</f>
        <v>20</v>
      </c>
      <c r="J421" s="15">
        <f>Слияние1[[#This Row],[Товарооборот, руб]] / SUM(Слияние1[Товарооборот, руб])</f>
        <v>2.2647090846141541E-4</v>
      </c>
    </row>
    <row r="422" spans="1:10" x14ac:dyDescent="0.3">
      <c r="A422" s="13">
        <v>43966</v>
      </c>
      <c r="B422" t="s">
        <v>19</v>
      </c>
      <c r="C422">
        <v>12229.5</v>
      </c>
      <c r="D422">
        <v>1122730.5</v>
      </c>
      <c r="E422">
        <v>15</v>
      </c>
      <c r="F422">
        <v>688</v>
      </c>
      <c r="G422">
        <v>598</v>
      </c>
      <c r="H422" cm="1">
        <f t="array" ref="H422">SUMPRODUCT((I422:I1420=22)*(D422:D1420))</f>
        <v>13759105.5</v>
      </c>
      <c r="I422">
        <f>WEEKNUM(Слияние1[[#This Row],[Дата]],2)</f>
        <v>20</v>
      </c>
      <c r="J422" s="15">
        <f>Слияние1[[#This Row],[Товарооборот, руб]] / SUM(Слияние1[Товарооборот, руб])</f>
        <v>2.2624934046282726E-4</v>
      </c>
    </row>
    <row r="423" spans="1:10" x14ac:dyDescent="0.3">
      <c r="A423" s="13">
        <v>43954</v>
      </c>
      <c r="B423" t="s">
        <v>18</v>
      </c>
      <c r="C423">
        <v>12924</v>
      </c>
      <c r="D423">
        <v>1120009.5</v>
      </c>
      <c r="E423">
        <v>15</v>
      </c>
      <c r="F423">
        <v>784</v>
      </c>
      <c r="G423">
        <v>696</v>
      </c>
      <c r="H423" cm="1">
        <f t="array" ref="H423">SUMPRODUCT((I423:I1421=22)*(D423:D1421))</f>
        <v>13759105.5</v>
      </c>
      <c r="I423">
        <f>WEEKNUM(Слияние1[[#This Row],[Дата]],2)</f>
        <v>18</v>
      </c>
      <c r="J423" s="15">
        <f>Слияние1[[#This Row],[Товарооборот, руб]] / SUM(Слияние1[Товарооборот, руб])</f>
        <v>2.2570101256454771E-4</v>
      </c>
    </row>
    <row r="424" spans="1:10" x14ac:dyDescent="0.3">
      <c r="A424" s="13">
        <v>43950</v>
      </c>
      <c r="B424" t="s">
        <v>18</v>
      </c>
      <c r="C424">
        <v>13014</v>
      </c>
      <c r="D424">
        <v>1115992.5</v>
      </c>
      <c r="E424">
        <v>15</v>
      </c>
      <c r="F424">
        <v>786</v>
      </c>
      <c r="G424">
        <v>695</v>
      </c>
      <c r="H424" cm="1">
        <f t="array" ref="H424">SUMPRODUCT((I424:I1422=22)*(D424:D1422))</f>
        <v>13759105.5</v>
      </c>
      <c r="I424">
        <f>WEEKNUM(Слияние1[[#This Row],[Дата]],2)</f>
        <v>18</v>
      </c>
      <c r="J424" s="15">
        <f>Слияние1[[#This Row],[Товарооборот, руб]] / SUM(Слияние1[Товарооборот, руб])</f>
        <v>2.2489151856697732E-4</v>
      </c>
    </row>
    <row r="425" spans="1:10" x14ac:dyDescent="0.3">
      <c r="A425" s="13">
        <v>43969</v>
      </c>
      <c r="B425" t="s">
        <v>19</v>
      </c>
      <c r="C425">
        <v>12450</v>
      </c>
      <c r="D425">
        <v>1115146.5</v>
      </c>
      <c r="E425">
        <v>15</v>
      </c>
      <c r="F425">
        <v>729</v>
      </c>
      <c r="G425">
        <v>636</v>
      </c>
      <c r="H425" cm="1">
        <f t="array" ref="H425">SUMPRODUCT((I425:I1423=22)*(D425:D1423))</f>
        <v>13759105.5</v>
      </c>
      <c r="I425">
        <f>WEEKNUM(Слияние1[[#This Row],[Дата]],2)</f>
        <v>21</v>
      </c>
      <c r="J425" s="15">
        <f>Слияние1[[#This Row],[Товарооборот, руб]] / SUM(Слияние1[Товарооборот, руб])</f>
        <v>2.2472103514105138E-4</v>
      </c>
    </row>
    <row r="426" spans="1:10" x14ac:dyDescent="0.3">
      <c r="A426" s="13">
        <v>43979</v>
      </c>
      <c r="B426" t="s">
        <v>12</v>
      </c>
      <c r="C426">
        <v>13038</v>
      </c>
      <c r="D426">
        <v>1114552.5</v>
      </c>
      <c r="E426">
        <v>10</v>
      </c>
      <c r="F426">
        <v>791</v>
      </c>
      <c r="G426">
        <v>697</v>
      </c>
      <c r="H426" cm="1">
        <f t="array" ref="H426">SUMPRODUCT((I426:I1424=22)*(D426:D1424))</f>
        <v>13759105.5</v>
      </c>
      <c r="I426">
        <f>WEEKNUM(Слияние1[[#This Row],[Дата]],2)</f>
        <v>22</v>
      </c>
      <c r="J426" s="15">
        <f>Слияние1[[#This Row],[Товарооборот, руб]] / SUM(Слияние1[Товарооборот, руб])</f>
        <v>2.2460133401220976E-4</v>
      </c>
    </row>
    <row r="427" spans="1:10" x14ac:dyDescent="0.3">
      <c r="A427" s="13">
        <v>43971</v>
      </c>
      <c r="B427" t="s">
        <v>19</v>
      </c>
      <c r="C427">
        <v>12630</v>
      </c>
      <c r="D427">
        <v>1104858</v>
      </c>
      <c r="E427">
        <v>15</v>
      </c>
      <c r="F427">
        <v>760</v>
      </c>
      <c r="G427">
        <v>664</v>
      </c>
      <c r="H427" cm="1">
        <f t="array" ref="H427">SUMPRODUCT((I427:I1425=22)*(D427:D1425))</f>
        <v>12644553</v>
      </c>
      <c r="I427">
        <f>WEEKNUM(Слияние1[[#This Row],[Дата]],2)</f>
        <v>21</v>
      </c>
      <c r="J427" s="15">
        <f>Слияние1[[#This Row],[Товарооборот, руб]] / SUM(Слияние1[Товарооборот, руб])</f>
        <v>2.2264772695235267E-4</v>
      </c>
    </row>
    <row r="428" spans="1:10" x14ac:dyDescent="0.3">
      <c r="A428" s="13">
        <v>43972</v>
      </c>
      <c r="B428" t="s">
        <v>19</v>
      </c>
      <c r="C428">
        <v>12135</v>
      </c>
      <c r="D428">
        <v>1103623.5</v>
      </c>
      <c r="E428">
        <v>15</v>
      </c>
      <c r="F428">
        <v>749</v>
      </c>
      <c r="G428">
        <v>652</v>
      </c>
      <c r="H428" cm="1">
        <f t="array" ref="H428">SUMPRODUCT((I428:I1426=22)*(D428:D1426))</f>
        <v>12644553</v>
      </c>
      <c r="I428">
        <f>WEEKNUM(Слияние1[[#This Row],[Дата]],2)</f>
        <v>21</v>
      </c>
      <c r="J428" s="15">
        <f>Слияние1[[#This Row],[Товарооборот, руб]] / SUM(Слияние1[Товарооборот, руб])</f>
        <v>2.2239895415175506E-4</v>
      </c>
    </row>
    <row r="429" spans="1:10" x14ac:dyDescent="0.3">
      <c r="A429" s="13">
        <v>43951</v>
      </c>
      <c r="B429" t="s">
        <v>18</v>
      </c>
      <c r="C429">
        <v>12753</v>
      </c>
      <c r="D429">
        <v>1103068.5</v>
      </c>
      <c r="E429">
        <v>15</v>
      </c>
      <c r="F429">
        <v>791</v>
      </c>
      <c r="G429">
        <v>691</v>
      </c>
      <c r="H429" cm="1">
        <f t="array" ref="H429">SUMPRODUCT((I429:I1427=22)*(D429:D1427))</f>
        <v>12644553</v>
      </c>
      <c r="I429">
        <f>WEEKNUM(Слияние1[[#This Row],[Дата]],2)</f>
        <v>18</v>
      </c>
      <c r="J429" s="15">
        <f>Слияние1[[#This Row],[Товарооборот, руб]] / SUM(Слияние1[Товарооборот, руб])</f>
        <v>2.2228711218793838E-4</v>
      </c>
    </row>
    <row r="430" spans="1:10" x14ac:dyDescent="0.3">
      <c r="A430" s="13">
        <v>43949</v>
      </c>
      <c r="B430" t="s">
        <v>18</v>
      </c>
      <c r="C430">
        <v>13303.5</v>
      </c>
      <c r="D430">
        <v>1102887</v>
      </c>
      <c r="E430">
        <v>15</v>
      </c>
      <c r="F430">
        <v>780</v>
      </c>
      <c r="G430">
        <v>690</v>
      </c>
      <c r="H430" cm="1">
        <f t="array" ref="H430">SUMPRODUCT((I430:I1428=22)*(D430:D1428))</f>
        <v>12644553</v>
      </c>
      <c r="I430">
        <f>WEEKNUM(Слияние1[[#This Row],[Дата]],2)</f>
        <v>18</v>
      </c>
      <c r="J430" s="15">
        <f>Слияние1[[#This Row],[Товарооборот, руб]] / SUM(Слияние1[Товарооборот, руб])</f>
        <v>2.2225053684301455E-4</v>
      </c>
    </row>
    <row r="431" spans="1:10" x14ac:dyDescent="0.3">
      <c r="A431" s="13">
        <v>43962</v>
      </c>
      <c r="B431" t="s">
        <v>18</v>
      </c>
      <c r="C431">
        <v>12238.5</v>
      </c>
      <c r="D431">
        <v>1096002</v>
      </c>
      <c r="E431">
        <v>15</v>
      </c>
      <c r="F431">
        <v>812</v>
      </c>
      <c r="G431">
        <v>714</v>
      </c>
      <c r="H431" cm="1">
        <f t="array" ref="H431">SUMPRODUCT((I431:I1429=22)*(D431:D1429))</f>
        <v>12644553</v>
      </c>
      <c r="I431">
        <f>WEEKNUM(Слияние1[[#This Row],[Дата]],2)</f>
        <v>20</v>
      </c>
      <c r="J431" s="15">
        <f>Слияние1[[#This Row],[Товарооборот, руб]] / SUM(Слияние1[Товарооборот, руб])</f>
        <v>2.2086309194053211E-4</v>
      </c>
    </row>
    <row r="432" spans="1:10" x14ac:dyDescent="0.3">
      <c r="A432" s="13">
        <v>43963</v>
      </c>
      <c r="B432" t="s">
        <v>23</v>
      </c>
      <c r="C432">
        <v>13443</v>
      </c>
      <c r="D432">
        <v>1092277.5</v>
      </c>
      <c r="E432">
        <v>15</v>
      </c>
      <c r="F432">
        <v>750</v>
      </c>
      <c r="G432">
        <v>659</v>
      </c>
      <c r="H432" cm="1">
        <f t="array" ref="H432">SUMPRODUCT((I432:I1430=22)*(D432:D1430))</f>
        <v>12644553</v>
      </c>
      <c r="I432">
        <f>WEEKNUM(Слияние1[[#This Row],[Дата]],2)</f>
        <v>20</v>
      </c>
      <c r="J432" s="15">
        <f>Слияние1[[#This Row],[Товарооборот, руб]] / SUM(Слияние1[Товарооборот, руб])</f>
        <v>2.2011254168064891E-4</v>
      </c>
    </row>
    <row r="433" spans="1:10" x14ac:dyDescent="0.3">
      <c r="A433" s="13">
        <v>43966</v>
      </c>
      <c r="B433" t="s">
        <v>23</v>
      </c>
      <c r="C433">
        <v>13752</v>
      </c>
      <c r="D433">
        <v>1091040</v>
      </c>
      <c r="E433">
        <v>16</v>
      </c>
      <c r="F433">
        <v>817</v>
      </c>
      <c r="G433">
        <v>718</v>
      </c>
      <c r="H433" cm="1">
        <f t="array" ref="H433">SUMPRODUCT((I433:I1431=22)*(D433:D1431))</f>
        <v>12644553</v>
      </c>
      <c r="I433">
        <f>WEEKNUM(Слияние1[[#This Row],[Дата]],2)</f>
        <v>20</v>
      </c>
      <c r="J433" s="15">
        <f>Слияние1[[#This Row],[Товарооборот, руб]] / SUM(Слияние1[Товарооборот, руб])</f>
        <v>2.1986316432889554E-4</v>
      </c>
    </row>
    <row r="434" spans="1:10" x14ac:dyDescent="0.3">
      <c r="A434" s="13">
        <v>43955</v>
      </c>
      <c r="B434" t="s">
        <v>18</v>
      </c>
      <c r="C434">
        <v>12301.5</v>
      </c>
      <c r="D434">
        <v>1085211</v>
      </c>
      <c r="E434">
        <v>15</v>
      </c>
      <c r="F434">
        <v>750</v>
      </c>
      <c r="G434">
        <v>647</v>
      </c>
      <c r="H434" cm="1">
        <f t="array" ref="H434">SUMPRODUCT((I434:I1432=22)*(D434:D1432))</f>
        <v>12644553</v>
      </c>
      <c r="I434">
        <f>WEEKNUM(Слияние1[[#This Row],[Дата]],2)</f>
        <v>19</v>
      </c>
      <c r="J434" s="15">
        <f>Слияние1[[#This Row],[Товарооборот, руб]] / SUM(Слияние1[Товарооборот, руб])</f>
        <v>2.1868852143324264E-4</v>
      </c>
    </row>
    <row r="435" spans="1:10" x14ac:dyDescent="0.3">
      <c r="A435" s="13">
        <v>43960</v>
      </c>
      <c r="B435" t="s">
        <v>19</v>
      </c>
      <c r="C435">
        <v>12037.5</v>
      </c>
      <c r="D435">
        <v>1081216.5</v>
      </c>
      <c r="E435">
        <v>15</v>
      </c>
      <c r="F435">
        <v>623</v>
      </c>
      <c r="G435">
        <v>535</v>
      </c>
      <c r="H435" cm="1">
        <f t="array" ref="H435">SUMPRODUCT((I435:I1433=22)*(D435:D1433))</f>
        <v>12644553</v>
      </c>
      <c r="I435">
        <f>WEEKNUM(Слияние1[[#This Row],[Дата]],2)</f>
        <v>19</v>
      </c>
      <c r="J435" s="15">
        <f>Слияние1[[#This Row],[Товарооборот, руб]] / SUM(Слияние1[Товарооборот, руб])</f>
        <v>2.1788356156934052E-4</v>
      </c>
    </row>
    <row r="436" spans="1:10" x14ac:dyDescent="0.3">
      <c r="A436" s="13">
        <v>43962</v>
      </c>
      <c r="B436" t="s">
        <v>19</v>
      </c>
      <c r="C436">
        <v>12654</v>
      </c>
      <c r="D436">
        <v>1081158</v>
      </c>
      <c r="E436">
        <v>15</v>
      </c>
      <c r="F436">
        <v>684</v>
      </c>
      <c r="G436">
        <v>585</v>
      </c>
      <c r="H436" cm="1">
        <f t="array" ref="H436">SUMPRODUCT((I436:I1434=22)*(D436:D1434))</f>
        <v>12644553</v>
      </c>
      <c r="I436">
        <f>WEEKNUM(Слияние1[[#This Row],[Дата]],2)</f>
        <v>20</v>
      </c>
      <c r="J436" s="15">
        <f>Слияние1[[#This Row],[Товарооборот, руб]] / SUM(Слияние1[Товарооборот, руб])</f>
        <v>2.178717728218031E-4</v>
      </c>
    </row>
    <row r="437" spans="1:10" x14ac:dyDescent="0.3">
      <c r="A437" s="13">
        <v>43968</v>
      </c>
      <c r="B437" t="s">
        <v>19</v>
      </c>
      <c r="C437">
        <v>11967</v>
      </c>
      <c r="D437">
        <v>1060489.5</v>
      </c>
      <c r="E437">
        <v>15</v>
      </c>
      <c r="F437">
        <v>692</v>
      </c>
      <c r="G437">
        <v>591</v>
      </c>
      <c r="H437" cm="1">
        <f t="array" ref="H437">SUMPRODUCT((I437:I1435=22)*(D437:D1435))</f>
        <v>12644553</v>
      </c>
      <c r="I437">
        <f>WEEKNUM(Слияние1[[#This Row],[Дата]],2)</f>
        <v>20</v>
      </c>
      <c r="J437" s="15">
        <f>Слияние1[[#This Row],[Товарооборот, руб]] / SUM(Слияние1[Товарооборот, руб])</f>
        <v>2.137067176341548E-4</v>
      </c>
    </row>
    <row r="438" spans="1:10" x14ac:dyDescent="0.3">
      <c r="A438" s="13">
        <v>43978</v>
      </c>
      <c r="B438" t="s">
        <v>12</v>
      </c>
      <c r="C438">
        <v>12490.5</v>
      </c>
      <c r="D438">
        <v>1054798.5</v>
      </c>
      <c r="E438">
        <v>10</v>
      </c>
      <c r="F438">
        <v>757</v>
      </c>
      <c r="G438">
        <v>660</v>
      </c>
      <c r="H438" cm="1">
        <f t="array" ref="H438">SUMPRODUCT((I438:I1436=22)*(D438:D1436))</f>
        <v>12644553</v>
      </c>
      <c r="I438">
        <f>WEEKNUM(Слияние1[[#This Row],[Дата]],2)</f>
        <v>22</v>
      </c>
      <c r="J438" s="15">
        <f>Слияние1[[#This Row],[Товарооборот, руб]] / SUM(Слияние1[Товарооборот, руб])</f>
        <v>2.1255988409166714E-4</v>
      </c>
    </row>
    <row r="439" spans="1:10" x14ac:dyDescent="0.3">
      <c r="A439" s="13">
        <v>43953</v>
      </c>
      <c r="B439" t="s">
        <v>18</v>
      </c>
      <c r="C439">
        <v>12313.5</v>
      </c>
      <c r="D439">
        <v>1053220.5</v>
      </c>
      <c r="E439">
        <v>15</v>
      </c>
      <c r="F439">
        <v>751</v>
      </c>
      <c r="G439">
        <v>651</v>
      </c>
      <c r="H439" cm="1">
        <f t="array" ref="H439">SUMPRODUCT((I439:I1437=22)*(D439:D1437))</f>
        <v>11589754.5</v>
      </c>
      <c r="I439">
        <f>WEEKNUM(Слияние1[[#This Row],[Дата]],2)</f>
        <v>18</v>
      </c>
      <c r="J439" s="15">
        <f>Слияние1[[#This Row],[Товарооборот, руб]] / SUM(Слияние1[Товарооборот, руб])</f>
        <v>2.1224189018373435E-4</v>
      </c>
    </row>
    <row r="440" spans="1:10" x14ac:dyDescent="0.3">
      <c r="A440" s="13">
        <v>43959</v>
      </c>
      <c r="B440" t="s">
        <v>23</v>
      </c>
      <c r="C440">
        <v>12976.5</v>
      </c>
      <c r="D440">
        <v>1046848.5</v>
      </c>
      <c r="E440">
        <v>15</v>
      </c>
      <c r="F440">
        <v>703</v>
      </c>
      <c r="G440">
        <v>609</v>
      </c>
      <c r="H440" cm="1">
        <f t="array" ref="H440">SUMPRODUCT((I440:I1438=22)*(D440:D1438))</f>
        <v>11589754.5</v>
      </c>
      <c r="I440">
        <f>WEEKNUM(Слияние1[[#This Row],[Дата]],2)</f>
        <v>19</v>
      </c>
      <c r="J440" s="15">
        <f>Слияние1[[#This Row],[Товарооборот, руб]] / SUM(Слияние1[Товарооборот, руб])</f>
        <v>2.1095782352888783E-4</v>
      </c>
    </row>
    <row r="441" spans="1:10" x14ac:dyDescent="0.3">
      <c r="A441" s="13">
        <v>43960</v>
      </c>
      <c r="B441" t="s">
        <v>12</v>
      </c>
      <c r="C441">
        <v>13216.5</v>
      </c>
      <c r="D441">
        <v>1046400</v>
      </c>
      <c r="E441">
        <v>10</v>
      </c>
      <c r="F441">
        <v>644</v>
      </c>
      <c r="G441">
        <v>559</v>
      </c>
      <c r="H441" cm="1">
        <f t="array" ref="H441">SUMPRODUCT((I441:I1439=22)*(D441:D1439))</f>
        <v>11589754.5</v>
      </c>
      <c r="I441">
        <f>WEEKNUM(Слияние1[[#This Row],[Дата]],2)</f>
        <v>19</v>
      </c>
      <c r="J441" s="15">
        <f>Слияние1[[#This Row],[Товарооборот, руб]] / SUM(Слияние1[Товарооборот, руб])</f>
        <v>2.1086744313110085E-4</v>
      </c>
    </row>
    <row r="442" spans="1:10" x14ac:dyDescent="0.3">
      <c r="A442" s="13">
        <v>43982</v>
      </c>
      <c r="B442" t="s">
        <v>12</v>
      </c>
      <c r="C442">
        <v>12724.5</v>
      </c>
      <c r="D442">
        <v>1045515</v>
      </c>
      <c r="E442">
        <v>10</v>
      </c>
      <c r="F442">
        <v>749</v>
      </c>
      <c r="G442">
        <v>655</v>
      </c>
      <c r="H442" cm="1">
        <f t="array" ref="H442">SUMPRODUCT((I442:I1440=22)*(D442:D1440))</f>
        <v>11589754.5</v>
      </c>
      <c r="I442">
        <f>WEEKNUM(Слияние1[[#This Row],[Дата]],2)</f>
        <v>22</v>
      </c>
      <c r="J442" s="15">
        <f>Слияние1[[#This Row],[Товарооборот, руб]] / SUM(Слияние1[Товарооборот, руб])</f>
        <v>2.1068910054014995E-4</v>
      </c>
    </row>
    <row r="443" spans="1:10" x14ac:dyDescent="0.3">
      <c r="A443" s="13">
        <v>43971</v>
      </c>
      <c r="B443" t="s">
        <v>12</v>
      </c>
      <c r="C443">
        <v>13063.5</v>
      </c>
      <c r="D443">
        <v>1037247</v>
      </c>
      <c r="E443">
        <v>10</v>
      </c>
      <c r="F443">
        <v>745</v>
      </c>
      <c r="G443">
        <v>654</v>
      </c>
      <c r="H443" cm="1">
        <f t="array" ref="H443">SUMPRODUCT((I443:I1441=22)*(D443:D1441))</f>
        <v>10544239.5</v>
      </c>
      <c r="I443">
        <f>WEEKNUM(Слияние1[[#This Row],[Дата]],2)</f>
        <v>21</v>
      </c>
      <c r="J443" s="15">
        <f>Слияние1[[#This Row],[Товарооборот, руб]] / SUM(Слияние1[Товарооборот, руб])</f>
        <v>2.0902295755485949E-4</v>
      </c>
    </row>
    <row r="444" spans="1:10" x14ac:dyDescent="0.3">
      <c r="A444" s="13">
        <v>43976</v>
      </c>
      <c r="B444" t="s">
        <v>12</v>
      </c>
      <c r="C444">
        <v>12280.5</v>
      </c>
      <c r="D444">
        <v>1030440</v>
      </c>
      <c r="E444">
        <v>10</v>
      </c>
      <c r="F444">
        <v>739</v>
      </c>
      <c r="G444">
        <v>642</v>
      </c>
      <c r="H444" cm="1">
        <f t="array" ref="H444">SUMPRODUCT((I444:I1442=22)*(D444:D1442))</f>
        <v>10544239.5</v>
      </c>
      <c r="I444">
        <f>WEEKNUM(Слияние1[[#This Row],[Дата]],2)</f>
        <v>22</v>
      </c>
      <c r="J444" s="15">
        <f>Слияние1[[#This Row],[Товарооборот, руб]] / SUM(Слияние1[Товарооборот, руб])</f>
        <v>2.0765123098242697E-4</v>
      </c>
    </row>
    <row r="445" spans="1:10" x14ac:dyDescent="0.3">
      <c r="A445" s="13">
        <v>43957</v>
      </c>
      <c r="B445" t="s">
        <v>23</v>
      </c>
      <c r="C445">
        <v>12468</v>
      </c>
      <c r="D445">
        <v>1016566.5</v>
      </c>
      <c r="E445">
        <v>15</v>
      </c>
      <c r="F445">
        <v>701</v>
      </c>
      <c r="G445">
        <v>611</v>
      </c>
      <c r="H445" cm="1">
        <f t="array" ref="H445">SUMPRODUCT((I445:I1443=22)*(D445:D1443))</f>
        <v>9513799.5</v>
      </c>
      <c r="I445">
        <f>WEEKNUM(Слияние1[[#This Row],[Дата]],2)</f>
        <v>19</v>
      </c>
      <c r="J445" s="15">
        <f>Слияние1[[#This Row],[Товарооборот, руб]] / SUM(Слияние1[Товарооборот, руб])</f>
        <v>2.0485548416258816E-4</v>
      </c>
    </row>
    <row r="446" spans="1:10" x14ac:dyDescent="0.3">
      <c r="A446" s="13">
        <v>43983</v>
      </c>
      <c r="B446" t="s">
        <v>12</v>
      </c>
      <c r="C446">
        <v>11416.5</v>
      </c>
      <c r="D446">
        <v>1007742</v>
      </c>
      <c r="E446">
        <v>10</v>
      </c>
      <c r="F446">
        <v>719</v>
      </c>
      <c r="G446">
        <v>627</v>
      </c>
      <c r="H446" cm="1">
        <f t="array" ref="H446">SUMPRODUCT((I446:I1444=22)*(D446:D1444))</f>
        <v>9513799.5</v>
      </c>
      <c r="I446">
        <f>WEEKNUM(Слияние1[[#This Row],[Дата]],2)</f>
        <v>23</v>
      </c>
      <c r="J446" s="15">
        <f>Слияние1[[#This Row],[Товарооборот, руб]] / SUM(Слияние1[Товарооборот, руб])</f>
        <v>2.0307719693790313E-4</v>
      </c>
    </row>
    <row r="447" spans="1:10" x14ac:dyDescent="0.3">
      <c r="A447" s="13">
        <v>43961</v>
      </c>
      <c r="B447" t="s">
        <v>12</v>
      </c>
      <c r="C447">
        <v>12918</v>
      </c>
      <c r="D447">
        <v>1004788.5</v>
      </c>
      <c r="E447">
        <v>10</v>
      </c>
      <c r="F447">
        <v>642</v>
      </c>
      <c r="G447">
        <v>556</v>
      </c>
      <c r="H447" cm="1">
        <f t="array" ref="H447">SUMPRODUCT((I447:I1445=22)*(D447:D1445))</f>
        <v>9513799.5</v>
      </c>
      <c r="I447">
        <f>WEEKNUM(Слияние1[[#This Row],[Дата]],2)</f>
        <v>19</v>
      </c>
      <c r="J447" s="15">
        <f>Слияние1[[#This Row],[Товарооборот, руб]] / SUM(Слияние1[Товарооборот, руб])</f>
        <v>2.0248201632505175E-4</v>
      </c>
    </row>
    <row r="448" spans="1:10" x14ac:dyDescent="0.3">
      <c r="A448" s="13">
        <v>43951</v>
      </c>
      <c r="B448" t="s">
        <v>23</v>
      </c>
      <c r="C448">
        <v>11976</v>
      </c>
      <c r="D448">
        <v>1004511</v>
      </c>
      <c r="E448">
        <v>15</v>
      </c>
      <c r="F448">
        <v>644</v>
      </c>
      <c r="G448">
        <v>550</v>
      </c>
      <c r="H448" cm="1">
        <f t="array" ref="H448">SUMPRODUCT((I448:I1446=22)*(D448:D1446))</f>
        <v>9513799.5</v>
      </c>
      <c r="I448">
        <f>WEEKNUM(Слияние1[[#This Row],[Дата]],2)</f>
        <v>18</v>
      </c>
      <c r="J448" s="15">
        <f>Слияние1[[#This Row],[Товарооборот, руб]] / SUM(Слияние1[Товарооборот, руб])</f>
        <v>2.0242609534314339E-4</v>
      </c>
    </row>
    <row r="449" spans="1:10" x14ac:dyDescent="0.3">
      <c r="A449" s="13">
        <v>43949</v>
      </c>
      <c r="B449" t="s">
        <v>23</v>
      </c>
      <c r="C449">
        <v>12541.5</v>
      </c>
      <c r="D449">
        <v>992541</v>
      </c>
      <c r="E449">
        <v>15</v>
      </c>
      <c r="F449">
        <v>636</v>
      </c>
      <c r="G449">
        <v>547</v>
      </c>
      <c r="H449" cm="1">
        <f t="array" ref="H449">SUMPRODUCT((I449:I1447=22)*(D449:D1447))</f>
        <v>9513799.5</v>
      </c>
      <c r="I449">
        <f>WEEKNUM(Слияние1[[#This Row],[Дата]],2)</f>
        <v>18</v>
      </c>
      <c r="J449" s="15">
        <f>Слияние1[[#This Row],[Товарооборот, руб]] / SUM(Слияние1[Товарооборот, руб])</f>
        <v>2.0001393623163798E-4</v>
      </c>
    </row>
    <row r="450" spans="1:10" x14ac:dyDescent="0.3">
      <c r="A450" s="13">
        <v>43963</v>
      </c>
      <c r="B450" t="s">
        <v>19</v>
      </c>
      <c r="C450">
        <v>11296.5</v>
      </c>
      <c r="D450">
        <v>989632.5</v>
      </c>
      <c r="E450">
        <v>15</v>
      </c>
      <c r="F450">
        <v>624</v>
      </c>
      <c r="G450">
        <v>538</v>
      </c>
      <c r="H450" cm="1">
        <f t="array" ref="H450">SUMPRODUCT((I450:I1448=22)*(D450:D1448))</f>
        <v>9513799.5</v>
      </c>
      <c r="I450">
        <f>WEEKNUM(Слияние1[[#This Row],[Дата]],2)</f>
        <v>20</v>
      </c>
      <c r="J450" s="15">
        <f>Слияние1[[#This Row],[Товарооборот, руб]] / SUM(Слияние1[Товарооборот, руб])</f>
        <v>1.9942782388612308E-4</v>
      </c>
    </row>
    <row r="451" spans="1:10" x14ac:dyDescent="0.3">
      <c r="A451" s="13">
        <v>43977</v>
      </c>
      <c r="B451" t="s">
        <v>12</v>
      </c>
      <c r="C451">
        <v>11835</v>
      </c>
      <c r="D451">
        <v>983109</v>
      </c>
      <c r="E451">
        <v>10</v>
      </c>
      <c r="F451">
        <v>692</v>
      </c>
      <c r="G451">
        <v>601</v>
      </c>
      <c r="H451" cm="1">
        <f t="array" ref="H451">SUMPRODUCT((I451:I1449=22)*(D451:D1449))</f>
        <v>9513799.5</v>
      </c>
      <c r="I451">
        <f>WEEKNUM(Слияние1[[#This Row],[Дата]],2)</f>
        <v>22</v>
      </c>
      <c r="J451" s="15">
        <f>Слияние1[[#This Row],[Товарооборот, руб]] / SUM(Слияние1[Товарооборот, руб])</f>
        <v>1.981132273979104E-4</v>
      </c>
    </row>
    <row r="452" spans="1:10" x14ac:dyDescent="0.3">
      <c r="A452" s="13">
        <v>43965</v>
      </c>
      <c r="B452" t="s">
        <v>12</v>
      </c>
      <c r="C452">
        <v>12037.5</v>
      </c>
      <c r="D452">
        <v>981564</v>
      </c>
      <c r="E452">
        <v>10</v>
      </c>
      <c r="F452">
        <v>627</v>
      </c>
      <c r="G452">
        <v>545</v>
      </c>
      <c r="H452" cm="1">
        <f t="array" ref="H452">SUMPRODUCT((I452:I1450=22)*(D452:D1450))</f>
        <v>8530690.5</v>
      </c>
      <c r="I452">
        <f>WEEKNUM(Слияние1[[#This Row],[Дата]],2)</f>
        <v>20</v>
      </c>
      <c r="J452" s="15">
        <f>Слияние1[[#This Row],[Товарооборот, руб]] / SUM(Слияние1[Товарооборот, руб])</f>
        <v>1.9780188355269103E-4</v>
      </c>
    </row>
    <row r="453" spans="1:10" x14ac:dyDescent="0.3">
      <c r="A453" s="13">
        <v>43950</v>
      </c>
      <c r="B453" t="s">
        <v>23</v>
      </c>
      <c r="C453">
        <v>12250.5</v>
      </c>
      <c r="D453">
        <v>981519</v>
      </c>
      <c r="E453">
        <v>15</v>
      </c>
      <c r="F453">
        <v>659</v>
      </c>
      <c r="G453">
        <v>575</v>
      </c>
      <c r="H453" cm="1">
        <f t="array" ref="H453">SUMPRODUCT((I453:I1451=22)*(D453:D1451))</f>
        <v>8530690.5</v>
      </c>
      <c r="I453">
        <f>WEEKNUM(Слияние1[[#This Row],[Дата]],2)</f>
        <v>18</v>
      </c>
      <c r="J453" s="15">
        <f>Слияние1[[#This Row],[Товарооборот, руб]] / SUM(Слияние1[Товарооборот, руб])</f>
        <v>1.9779281528535455E-4</v>
      </c>
    </row>
    <row r="454" spans="1:10" x14ac:dyDescent="0.3">
      <c r="A454" s="13">
        <v>43958</v>
      </c>
      <c r="B454" t="s">
        <v>23</v>
      </c>
      <c r="C454">
        <v>11719.5</v>
      </c>
      <c r="D454">
        <v>965880</v>
      </c>
      <c r="E454">
        <v>15</v>
      </c>
      <c r="F454">
        <v>676</v>
      </c>
      <c r="G454">
        <v>591</v>
      </c>
      <c r="H454" cm="1">
        <f t="array" ref="H454">SUMPRODUCT((I454:I1452=22)*(D454:D1452))</f>
        <v>8530690.5</v>
      </c>
      <c r="I454">
        <f>WEEKNUM(Слияние1[[#This Row],[Дата]],2)</f>
        <v>19</v>
      </c>
      <c r="J454" s="15">
        <f>Слияние1[[#This Row],[Товарооборот, руб]] / SUM(Слияние1[Товарооборот, руб])</f>
        <v>1.9464129011034756E-4</v>
      </c>
    </row>
    <row r="455" spans="1:10" x14ac:dyDescent="0.3">
      <c r="A455" s="13">
        <v>43965</v>
      </c>
      <c r="B455" t="s">
        <v>19</v>
      </c>
      <c r="C455">
        <v>11161.5</v>
      </c>
      <c r="D455">
        <v>963502.5</v>
      </c>
      <c r="E455">
        <v>15</v>
      </c>
      <c r="F455">
        <v>638</v>
      </c>
      <c r="G455">
        <v>548</v>
      </c>
      <c r="H455" cm="1">
        <f t="array" ref="H455">SUMPRODUCT((I455:I1453=22)*(D455:D1453))</f>
        <v>8530690.5</v>
      </c>
      <c r="I455">
        <f>WEEKNUM(Слияние1[[#This Row],[Дата]],2)</f>
        <v>20</v>
      </c>
      <c r="J455" s="15">
        <f>Слияние1[[#This Row],[Товарооборот, руб]] / SUM(Слияние1[Товарооборот, руб])</f>
        <v>1.941621833194032E-4</v>
      </c>
    </row>
    <row r="456" spans="1:10" x14ac:dyDescent="0.3">
      <c r="A456" s="13">
        <v>43959</v>
      </c>
      <c r="B456" t="s">
        <v>12</v>
      </c>
      <c r="C456">
        <v>12528</v>
      </c>
      <c r="D456">
        <v>959703</v>
      </c>
      <c r="E456">
        <v>10</v>
      </c>
      <c r="F456">
        <v>638</v>
      </c>
      <c r="G456">
        <v>547</v>
      </c>
      <c r="H456" cm="1">
        <f t="array" ref="H456">SUMPRODUCT((I456:I1454=22)*(D456:D1454))</f>
        <v>8530690.5</v>
      </c>
      <c r="I456">
        <f>WEEKNUM(Слияние1[[#This Row],[Дата]],2)</f>
        <v>19</v>
      </c>
      <c r="J456" s="15">
        <f>Слияние1[[#This Row],[Товарооборот, руб]] / SUM(Слияние1[Товарооборот, руб])</f>
        <v>1.9339651928062585E-4</v>
      </c>
    </row>
    <row r="457" spans="1:10" x14ac:dyDescent="0.3">
      <c r="A457" s="13">
        <v>43960</v>
      </c>
      <c r="B457" t="s">
        <v>23</v>
      </c>
      <c r="C457">
        <v>11745</v>
      </c>
      <c r="D457">
        <v>955801.5</v>
      </c>
      <c r="E457">
        <v>15</v>
      </c>
      <c r="F457">
        <v>654</v>
      </c>
      <c r="G457">
        <v>570</v>
      </c>
      <c r="H457" cm="1">
        <f t="array" ref="H457">SUMPRODUCT((I457:I1455=22)*(D457:D1455))</f>
        <v>8530690.5</v>
      </c>
      <c r="I457">
        <f>WEEKNUM(Слияние1[[#This Row],[Дата]],2)</f>
        <v>19</v>
      </c>
      <c r="J457" s="15">
        <f>Слияние1[[#This Row],[Товарооборот, руб]] / SUM(Слияние1[Товарооборот, руб])</f>
        <v>1.9261030050255246E-4</v>
      </c>
    </row>
    <row r="458" spans="1:10" x14ac:dyDescent="0.3">
      <c r="A458" s="13">
        <v>43964</v>
      </c>
      <c r="B458" t="s">
        <v>19</v>
      </c>
      <c r="C458">
        <v>10401</v>
      </c>
      <c r="D458">
        <v>949912.5</v>
      </c>
      <c r="E458">
        <v>15</v>
      </c>
      <c r="F458">
        <v>599</v>
      </c>
      <c r="G458">
        <v>515</v>
      </c>
      <c r="H458" cm="1">
        <f t="array" ref="H458">SUMPRODUCT((I458:I1456=22)*(D458:D1456))</f>
        <v>8530690.5</v>
      </c>
      <c r="I458">
        <f>WEEKNUM(Слияние1[[#This Row],[Дата]],2)</f>
        <v>20</v>
      </c>
      <c r="J458" s="15">
        <f>Слияние1[[#This Row],[Товарооборот, руб]] / SUM(Слияние1[Товарооборот, руб])</f>
        <v>1.9142356658378426E-4</v>
      </c>
    </row>
    <row r="459" spans="1:10" x14ac:dyDescent="0.3">
      <c r="A459" s="13">
        <v>43970</v>
      </c>
      <c r="B459" t="s">
        <v>12</v>
      </c>
      <c r="C459">
        <v>11526</v>
      </c>
      <c r="D459">
        <v>938764.5</v>
      </c>
      <c r="E459">
        <v>10</v>
      </c>
      <c r="F459">
        <v>649</v>
      </c>
      <c r="G459">
        <v>568</v>
      </c>
      <c r="H459" cm="1">
        <f t="array" ref="H459">SUMPRODUCT((I459:I1457=22)*(D459:D1457))</f>
        <v>8530690.5</v>
      </c>
      <c r="I459">
        <f>WEEKNUM(Слияние1[[#This Row],[Дата]],2)</f>
        <v>21</v>
      </c>
      <c r="J459" s="15">
        <f>Слияние1[[#This Row],[Товарооборот, руб]] / SUM(Слияние1[Товарооборот, руб])</f>
        <v>1.8917705448895866E-4</v>
      </c>
    </row>
    <row r="460" spans="1:10" x14ac:dyDescent="0.3">
      <c r="A460" s="13">
        <v>43969</v>
      </c>
      <c r="B460" t="s">
        <v>12</v>
      </c>
      <c r="C460">
        <v>11680.5</v>
      </c>
      <c r="D460">
        <v>936427.5</v>
      </c>
      <c r="E460">
        <v>10</v>
      </c>
      <c r="F460">
        <v>645</v>
      </c>
      <c r="G460">
        <v>565</v>
      </c>
      <c r="H460" cm="1">
        <f t="array" ref="H460">SUMPRODUCT((I460:I1458=22)*(D460:D1458))</f>
        <v>8530690.5</v>
      </c>
      <c r="I460">
        <f>WEEKNUM(Слияние1[[#This Row],[Дата]],2)</f>
        <v>21</v>
      </c>
      <c r="J460" s="15">
        <f>Слияние1[[#This Row],[Товарооборот, руб]] / SUM(Слияние1[Товарооборот, руб])</f>
        <v>1.8870610913861711E-4</v>
      </c>
    </row>
    <row r="461" spans="1:10" x14ac:dyDescent="0.3">
      <c r="A461" s="13">
        <v>43972</v>
      </c>
      <c r="B461" t="s">
        <v>12</v>
      </c>
      <c r="C461">
        <v>11250</v>
      </c>
      <c r="D461">
        <v>935523</v>
      </c>
      <c r="E461">
        <v>10</v>
      </c>
      <c r="F461">
        <v>677</v>
      </c>
      <c r="G461">
        <v>591</v>
      </c>
      <c r="H461" cm="1">
        <f t="array" ref="H461">SUMPRODUCT((I461:I1459=22)*(D461:D1459))</f>
        <v>8530690.5</v>
      </c>
      <c r="I461">
        <f>WEEKNUM(Слияние1[[#This Row],[Дата]],2)</f>
        <v>21</v>
      </c>
      <c r="J461" s="15">
        <f>Слияние1[[#This Row],[Товарооборот, руб]] / SUM(Слияние1[Товарооборот, руб])</f>
        <v>1.8852383696515374E-4</v>
      </c>
    </row>
    <row r="462" spans="1:10" x14ac:dyDescent="0.3">
      <c r="A462" s="13">
        <v>43981</v>
      </c>
      <c r="B462" t="s">
        <v>24</v>
      </c>
      <c r="C462">
        <v>11220</v>
      </c>
      <c r="D462">
        <v>928675.5</v>
      </c>
      <c r="E462">
        <v>7</v>
      </c>
      <c r="F462">
        <v>532</v>
      </c>
      <c r="G462">
        <v>449</v>
      </c>
      <c r="H462" cm="1">
        <f t="array" ref="H462">SUMPRODUCT((I462:I1460=22)*(D462:D1460))</f>
        <v>8530690.5</v>
      </c>
      <c r="I462">
        <f>WEEKNUM(Слияние1[[#This Row],[Дата]],2)</f>
        <v>22</v>
      </c>
      <c r="J462" s="15">
        <f>Слияние1[[#This Row],[Товарооборот, руб]] / SUM(Слияние1[Товарооборот, руб])</f>
        <v>1.8714394895211838E-4</v>
      </c>
    </row>
    <row r="463" spans="1:10" x14ac:dyDescent="0.3">
      <c r="A463" s="13">
        <v>43955</v>
      </c>
      <c r="B463" t="s">
        <v>23</v>
      </c>
      <c r="C463">
        <v>11062.5</v>
      </c>
      <c r="D463">
        <v>906343.5</v>
      </c>
      <c r="E463">
        <v>15</v>
      </c>
      <c r="F463">
        <v>622</v>
      </c>
      <c r="G463">
        <v>538</v>
      </c>
      <c r="H463" cm="1">
        <f t="array" ref="H463">SUMPRODUCT((I463:I1461=22)*(D463:D1461))</f>
        <v>7602015</v>
      </c>
      <c r="I463">
        <f>WEEKNUM(Слияние1[[#This Row],[Дата]],2)</f>
        <v>19</v>
      </c>
      <c r="J463" s="15">
        <f>Слияние1[[#This Row],[Товарооборот, руб]] / SUM(Слияние1[Товарооборот, руб])</f>
        <v>1.8264367014859796E-4</v>
      </c>
    </row>
    <row r="464" spans="1:10" x14ac:dyDescent="0.3">
      <c r="A464" s="13">
        <v>43952</v>
      </c>
      <c r="B464" t="s">
        <v>12</v>
      </c>
      <c r="C464">
        <v>11619</v>
      </c>
      <c r="D464">
        <v>891139.5</v>
      </c>
      <c r="E464">
        <v>10</v>
      </c>
      <c r="F464">
        <v>554</v>
      </c>
      <c r="G464">
        <v>472</v>
      </c>
      <c r="H464" cm="1">
        <f t="array" ref="H464">SUMPRODUCT((I464:I1462=22)*(D464:D1462))</f>
        <v>7602015</v>
      </c>
      <c r="I464">
        <f>WEEKNUM(Слияние1[[#This Row],[Дата]],2)</f>
        <v>18</v>
      </c>
      <c r="J464" s="15">
        <f>Слияние1[[#This Row],[Товарооборот, руб]] / SUM(Слияние1[Товарооборот, руб])</f>
        <v>1.7957980489117703E-4</v>
      </c>
    </row>
    <row r="465" spans="1:10" x14ac:dyDescent="0.3">
      <c r="A465" s="13">
        <v>43962</v>
      </c>
      <c r="B465" t="s">
        <v>23</v>
      </c>
      <c r="C465">
        <v>10941</v>
      </c>
      <c r="D465">
        <v>880356</v>
      </c>
      <c r="E465">
        <v>15</v>
      </c>
      <c r="F465">
        <v>654</v>
      </c>
      <c r="G465">
        <v>564</v>
      </c>
      <c r="H465" cm="1">
        <f t="array" ref="H465">SUMPRODUCT((I465:I1463=22)*(D465:D1463))</f>
        <v>7602015</v>
      </c>
      <c r="I465">
        <f>WEEKNUM(Слияние1[[#This Row],[Дата]],2)</f>
        <v>20</v>
      </c>
      <c r="J465" s="15">
        <f>Слияние1[[#This Row],[Товарооборот, руб]] / SUM(Слияние1[Товарооборот, руб])</f>
        <v>1.7740674576177697E-4</v>
      </c>
    </row>
    <row r="466" spans="1:10" x14ac:dyDescent="0.3">
      <c r="A466" s="13">
        <v>43949</v>
      </c>
      <c r="B466" t="s">
        <v>12</v>
      </c>
      <c r="C466">
        <v>12331.5</v>
      </c>
      <c r="D466">
        <v>869983.5</v>
      </c>
      <c r="E466">
        <v>10</v>
      </c>
      <c r="F466">
        <v>580</v>
      </c>
      <c r="G466">
        <v>506</v>
      </c>
      <c r="H466" cm="1">
        <f t="array" ref="H466">SUMPRODUCT((I466:I1464=22)*(D466:D1464))</f>
        <v>7602015</v>
      </c>
      <c r="I466">
        <f>WEEKNUM(Слияние1[[#This Row],[Дата]],2)</f>
        <v>18</v>
      </c>
      <c r="J466" s="15">
        <f>Слияние1[[#This Row],[Товарооборот, руб]] / SUM(Слияние1[Товарооборот, руб])</f>
        <v>1.7531651014071682E-4</v>
      </c>
    </row>
    <row r="467" spans="1:10" x14ac:dyDescent="0.3">
      <c r="A467" s="13">
        <v>43982</v>
      </c>
      <c r="B467" t="s">
        <v>24</v>
      </c>
      <c r="C467">
        <v>10416</v>
      </c>
      <c r="D467">
        <v>866023.5</v>
      </c>
      <c r="E467">
        <v>7</v>
      </c>
      <c r="F467">
        <v>530</v>
      </c>
      <c r="G467">
        <v>447</v>
      </c>
      <c r="H467" cm="1">
        <f t="array" ref="H467">SUMPRODUCT((I467:I1465=22)*(D467:D1465))</f>
        <v>7602015</v>
      </c>
      <c r="I467">
        <f>WEEKNUM(Слияние1[[#This Row],[Дата]],2)</f>
        <v>22</v>
      </c>
      <c r="J467" s="15">
        <f>Слияние1[[#This Row],[Товарооборот, руб]] / SUM(Слияние1[Товарооборот, руб])</f>
        <v>1.74518502615106E-4</v>
      </c>
    </row>
    <row r="468" spans="1:10" x14ac:dyDescent="0.3">
      <c r="A468" s="13">
        <v>43964</v>
      </c>
      <c r="B468" t="s">
        <v>12</v>
      </c>
      <c r="C468">
        <v>11202</v>
      </c>
      <c r="D468">
        <v>865714.5</v>
      </c>
      <c r="E468">
        <v>10</v>
      </c>
      <c r="F468">
        <v>612</v>
      </c>
      <c r="G468">
        <v>530</v>
      </c>
      <c r="H468" cm="1">
        <f t="array" ref="H468">SUMPRODUCT((I468:I1466=22)*(D468:D1466))</f>
        <v>6735991.5</v>
      </c>
      <c r="I468">
        <f>WEEKNUM(Слияние1[[#This Row],[Дата]],2)</f>
        <v>20</v>
      </c>
      <c r="J468" s="15">
        <f>Слияние1[[#This Row],[Товарооборот, руб]] / SUM(Слияние1[Товарооборот, руб])</f>
        <v>1.7445623384606214E-4</v>
      </c>
    </row>
    <row r="469" spans="1:10" x14ac:dyDescent="0.3">
      <c r="A469" s="13">
        <v>43958</v>
      </c>
      <c r="B469" t="s">
        <v>12</v>
      </c>
      <c r="C469">
        <v>11029.5</v>
      </c>
      <c r="D469">
        <v>863754</v>
      </c>
      <c r="E469">
        <v>10</v>
      </c>
      <c r="F469">
        <v>563</v>
      </c>
      <c r="G469">
        <v>486</v>
      </c>
      <c r="H469" cm="1">
        <f t="array" ref="H469">SUMPRODUCT((I469:I1467=22)*(D469:D1467))</f>
        <v>6735991.5</v>
      </c>
      <c r="I469">
        <f>WEEKNUM(Слияние1[[#This Row],[Дата]],2)</f>
        <v>19</v>
      </c>
      <c r="J469" s="15">
        <f>Слияние1[[#This Row],[Товарооборот, руб]] / SUM(Слияние1[Товарооборот, руб])</f>
        <v>1.740611596657692E-4</v>
      </c>
    </row>
    <row r="470" spans="1:10" x14ac:dyDescent="0.3">
      <c r="A470" s="13">
        <v>43980</v>
      </c>
      <c r="B470" t="s">
        <v>24</v>
      </c>
      <c r="C470">
        <v>9927</v>
      </c>
      <c r="D470">
        <v>850840.5</v>
      </c>
      <c r="E470">
        <v>7</v>
      </c>
      <c r="F470">
        <v>491</v>
      </c>
      <c r="G470">
        <v>411</v>
      </c>
      <c r="H470" cm="1">
        <f t="array" ref="H470">SUMPRODUCT((I470:I1468=22)*(D470:D1468))</f>
        <v>6735991.5</v>
      </c>
      <c r="I470">
        <f>WEEKNUM(Слияние1[[#This Row],[Дата]],2)</f>
        <v>22</v>
      </c>
      <c r="J470" s="15">
        <f>Слияние1[[#This Row],[Товарооборот, руб]] / SUM(Слияние1[Товарооборот, руб])</f>
        <v>1.7145886921577543E-4</v>
      </c>
    </row>
    <row r="471" spans="1:10" x14ac:dyDescent="0.3">
      <c r="A471" s="13">
        <v>43968</v>
      </c>
      <c r="B471" t="s">
        <v>12</v>
      </c>
      <c r="C471">
        <v>10402.5</v>
      </c>
      <c r="D471">
        <v>843727.5</v>
      </c>
      <c r="E471">
        <v>10</v>
      </c>
      <c r="F471">
        <v>591</v>
      </c>
      <c r="G471">
        <v>513</v>
      </c>
      <c r="H471" cm="1">
        <f t="array" ref="H471">SUMPRODUCT((I471:I1469=22)*(D471:D1469))</f>
        <v>5885151</v>
      </c>
      <c r="I471">
        <f>WEEKNUM(Слияние1[[#This Row],[Дата]],2)</f>
        <v>20</v>
      </c>
      <c r="J471" s="15">
        <f>Слияние1[[#This Row],[Товарооборот, руб]] / SUM(Слияние1[Товарооборот, руб])</f>
        <v>1.700254784254548E-4</v>
      </c>
    </row>
    <row r="472" spans="1:10" x14ac:dyDescent="0.3">
      <c r="A472" s="13">
        <v>43977</v>
      </c>
      <c r="B472" t="s">
        <v>24</v>
      </c>
      <c r="C472">
        <v>10437</v>
      </c>
      <c r="D472">
        <v>833815.5</v>
      </c>
      <c r="E472">
        <v>7</v>
      </c>
      <c r="F472">
        <v>577</v>
      </c>
      <c r="G472">
        <v>389</v>
      </c>
      <c r="H472" cm="1">
        <f t="array" ref="H472">SUMPRODUCT((I472:I1470=22)*(D472:D1470))</f>
        <v>5885151</v>
      </c>
      <c r="I472">
        <f>WEEKNUM(Слияние1[[#This Row],[Дата]],2)</f>
        <v>22</v>
      </c>
      <c r="J472" s="15">
        <f>Слияние1[[#This Row],[Товарооборот, руб]] / SUM(Слияние1[Товарооборот, руб])</f>
        <v>1.6802804140680469E-4</v>
      </c>
    </row>
    <row r="473" spans="1:10" x14ac:dyDescent="0.3">
      <c r="A473" s="13">
        <v>43975</v>
      </c>
      <c r="B473" t="s">
        <v>12</v>
      </c>
      <c r="C473">
        <v>9994.5</v>
      </c>
      <c r="D473">
        <v>828984</v>
      </c>
      <c r="E473">
        <v>10</v>
      </c>
      <c r="F473">
        <v>639</v>
      </c>
      <c r="G473">
        <v>557</v>
      </c>
      <c r="H473" cm="1">
        <f t="array" ref="H473">SUMPRODUCT((I473:I1471=22)*(D473:D1471))</f>
        <v>5051335.5</v>
      </c>
      <c r="I473">
        <f>WEEKNUM(Слияние1[[#This Row],[Дата]],2)</f>
        <v>21</v>
      </c>
      <c r="J473" s="15">
        <f>Слияние1[[#This Row],[Товарооборот, руб]] / SUM(Слияние1[Товарооборот, руб])</f>
        <v>1.6705441177044392E-4</v>
      </c>
    </row>
    <row r="474" spans="1:10" x14ac:dyDescent="0.3">
      <c r="A474" s="13">
        <v>43953</v>
      </c>
      <c r="B474" t="s">
        <v>23</v>
      </c>
      <c r="C474">
        <v>10018.5</v>
      </c>
      <c r="D474">
        <v>816859.5</v>
      </c>
      <c r="E474">
        <v>15</v>
      </c>
      <c r="F474">
        <v>567</v>
      </c>
      <c r="G474">
        <v>493</v>
      </c>
      <c r="H474" cm="1">
        <f t="array" ref="H474">SUMPRODUCT((I474:I1472=22)*(D474:D1472))</f>
        <v>5051335.5</v>
      </c>
      <c r="I474">
        <f>WEEKNUM(Слияние1[[#This Row],[Дата]],2)</f>
        <v>18</v>
      </c>
      <c r="J474" s="15">
        <f>Слияние1[[#This Row],[Товарооборот, руб]] / SUM(Слияние1[Товарооборот, руб])</f>
        <v>1.6461111827441655E-4</v>
      </c>
    </row>
    <row r="475" spans="1:10" x14ac:dyDescent="0.3">
      <c r="A475" s="13">
        <v>43954</v>
      </c>
      <c r="B475" t="s">
        <v>23</v>
      </c>
      <c r="C475">
        <v>10032</v>
      </c>
      <c r="D475">
        <v>816150</v>
      </c>
      <c r="E475">
        <v>15</v>
      </c>
      <c r="F475">
        <v>585</v>
      </c>
      <c r="G475">
        <v>502</v>
      </c>
      <c r="H475" cm="1">
        <f t="array" ref="H475">SUMPRODUCT((I475:I1473=22)*(D475:D1473))</f>
        <v>5051335.5</v>
      </c>
      <c r="I475">
        <f>WEEKNUM(Слияние1[[#This Row],[Дата]],2)</f>
        <v>18</v>
      </c>
      <c r="J475" s="15">
        <f>Слияние1[[#This Row],[Товарооборот, руб]] / SUM(Слияние1[Товарооборот, руб])</f>
        <v>1.6446814192607796E-4</v>
      </c>
    </row>
    <row r="476" spans="1:10" x14ac:dyDescent="0.3">
      <c r="A476" s="13">
        <v>43983</v>
      </c>
      <c r="B476" t="s">
        <v>24</v>
      </c>
      <c r="C476">
        <v>9474</v>
      </c>
      <c r="D476">
        <v>802447.5</v>
      </c>
      <c r="E476">
        <v>7</v>
      </c>
      <c r="F476">
        <v>500</v>
      </c>
      <c r="G476">
        <v>418</v>
      </c>
      <c r="H476" cm="1">
        <f t="array" ref="H476">SUMPRODUCT((I476:I1474=22)*(D476:D1474))</f>
        <v>5051335.5</v>
      </c>
      <c r="I476">
        <f>WEEKNUM(Слияние1[[#This Row],[Дата]],2)</f>
        <v>23</v>
      </c>
      <c r="J476" s="15">
        <f>Слияние1[[#This Row],[Товарооборот, руб]] / SUM(Слияние1[Товарооборот, руб])</f>
        <v>1.6170685452211779E-4</v>
      </c>
    </row>
    <row r="477" spans="1:10" x14ac:dyDescent="0.3">
      <c r="A477" s="13">
        <v>43959</v>
      </c>
      <c r="B477" t="s">
        <v>19</v>
      </c>
      <c r="C477">
        <v>9058.5</v>
      </c>
      <c r="D477">
        <v>798759</v>
      </c>
      <c r="E477">
        <v>15</v>
      </c>
      <c r="F477">
        <v>492</v>
      </c>
      <c r="G477">
        <v>412</v>
      </c>
      <c r="H477" cm="1">
        <f t="array" ref="H477">SUMPRODUCT((I477:I1475=22)*(D477:D1475))</f>
        <v>5051335.5</v>
      </c>
      <c r="I477">
        <f>WEEKNUM(Слияние1[[#This Row],[Дата]],2)</f>
        <v>19</v>
      </c>
      <c r="J477" s="15">
        <f>Слияние1[[#This Row],[Товарооборот, руб]] / SUM(Слияние1[Товарооборот, руб])</f>
        <v>1.6096355887610379E-4</v>
      </c>
    </row>
    <row r="478" spans="1:10" x14ac:dyDescent="0.3">
      <c r="A478" s="13">
        <v>43950</v>
      </c>
      <c r="B478" t="s">
        <v>12</v>
      </c>
      <c r="C478">
        <v>10840.5</v>
      </c>
      <c r="D478">
        <v>797919</v>
      </c>
      <c r="E478">
        <v>10</v>
      </c>
      <c r="F478">
        <v>502</v>
      </c>
      <c r="G478">
        <v>433</v>
      </c>
      <c r="H478" cm="1">
        <f t="array" ref="H478">SUMPRODUCT((I478:I1476=22)*(D478:D1476))</f>
        <v>5051335.5</v>
      </c>
      <c r="I478">
        <f>WEEKNUM(Слияние1[[#This Row],[Дата]],2)</f>
        <v>18</v>
      </c>
      <c r="J478" s="15">
        <f>Слияние1[[#This Row],[Товарооборот, руб]] / SUM(Слияние1[Товарооборот, руб])</f>
        <v>1.6079428455248937E-4</v>
      </c>
    </row>
    <row r="479" spans="1:10" x14ac:dyDescent="0.3">
      <c r="A479" s="13">
        <v>43956</v>
      </c>
      <c r="B479" t="s">
        <v>12</v>
      </c>
      <c r="C479">
        <v>10147.5</v>
      </c>
      <c r="D479">
        <v>793320</v>
      </c>
      <c r="E479">
        <v>10</v>
      </c>
      <c r="F479">
        <v>511</v>
      </c>
      <c r="G479">
        <v>437</v>
      </c>
      <c r="H479" cm="1">
        <f t="array" ref="H479">SUMPRODUCT((I479:I1477=22)*(D479:D1477))</f>
        <v>5051335.5</v>
      </c>
      <c r="I479">
        <f>WEEKNUM(Слияние1[[#This Row],[Дата]],2)</f>
        <v>19</v>
      </c>
      <c r="J479" s="15">
        <f>Слияние1[[#This Row],[Товарооборот, руб]] / SUM(Слияние1[Товарооборот, руб])</f>
        <v>1.5986750763070045E-4</v>
      </c>
    </row>
    <row r="480" spans="1:10" x14ac:dyDescent="0.3">
      <c r="A480" s="13">
        <v>43981</v>
      </c>
      <c r="B480" t="s">
        <v>9</v>
      </c>
      <c r="C480">
        <v>10029</v>
      </c>
      <c r="D480">
        <v>787101</v>
      </c>
      <c r="E480">
        <v>15</v>
      </c>
      <c r="F480">
        <v>490</v>
      </c>
      <c r="G480">
        <v>409</v>
      </c>
      <c r="H480" cm="1">
        <f t="array" ref="H480">SUMPRODUCT((I480:I1478=22)*(D480:D1478))</f>
        <v>5051335.5</v>
      </c>
      <c r="I480">
        <f>WEEKNUM(Слияние1[[#This Row],[Дата]],2)</f>
        <v>22</v>
      </c>
      <c r="J480" s="15">
        <f>Слияние1[[#This Row],[Товарооборот, руб]] / SUM(Слияние1[Товарооборот, руб])</f>
        <v>1.58614273084798E-4</v>
      </c>
    </row>
    <row r="481" spans="1:10" x14ac:dyDescent="0.3">
      <c r="A481" s="13">
        <v>43958</v>
      </c>
      <c r="B481" t="s">
        <v>19</v>
      </c>
      <c r="C481">
        <v>8719.5</v>
      </c>
      <c r="D481">
        <v>769276.5</v>
      </c>
      <c r="E481">
        <v>15</v>
      </c>
      <c r="F481">
        <v>480</v>
      </c>
      <c r="G481">
        <v>398</v>
      </c>
      <c r="H481" cm="1">
        <f t="array" ref="H481">SUMPRODUCT((I481:I1479=22)*(D481:D1479))</f>
        <v>4264234.5</v>
      </c>
      <c r="I481">
        <f>WEEKNUM(Слияние1[[#This Row],[Дата]],2)</f>
        <v>19</v>
      </c>
      <c r="J481" s="15">
        <f>Слияние1[[#This Row],[Товарооборот, руб]] / SUM(Слияние1[Товарооборот, руб])</f>
        <v>1.5502233239281566E-4</v>
      </c>
    </row>
    <row r="482" spans="1:10" x14ac:dyDescent="0.3">
      <c r="A482" s="13">
        <v>43957</v>
      </c>
      <c r="B482" t="s">
        <v>19</v>
      </c>
      <c r="C482">
        <v>8464.5</v>
      </c>
      <c r="D482">
        <v>739291.5</v>
      </c>
      <c r="E482">
        <v>15</v>
      </c>
      <c r="F482">
        <v>467</v>
      </c>
      <c r="G482">
        <v>389</v>
      </c>
      <c r="H482" cm="1">
        <f t="array" ref="H482">SUMPRODUCT((I482:I1480=22)*(D482:D1480))</f>
        <v>4264234.5</v>
      </c>
      <c r="I482">
        <f>WEEKNUM(Слияние1[[#This Row],[Дата]],2)</f>
        <v>19</v>
      </c>
      <c r="J482" s="15">
        <f>Слияние1[[#This Row],[Товарооборот, руб]] / SUM(Слияние1[Товарооборот, руб])</f>
        <v>1.4897984359093678E-4</v>
      </c>
    </row>
    <row r="483" spans="1:10" x14ac:dyDescent="0.3">
      <c r="A483" s="13">
        <v>43962</v>
      </c>
      <c r="B483" t="s">
        <v>12</v>
      </c>
      <c r="C483">
        <v>9007.5</v>
      </c>
      <c r="D483">
        <v>734335.5</v>
      </c>
      <c r="E483">
        <v>10</v>
      </c>
      <c r="F483">
        <v>494</v>
      </c>
      <c r="G483">
        <v>421</v>
      </c>
      <c r="H483" cm="1">
        <f t="array" ref="H483">SUMPRODUCT((I483:I1481=22)*(D483:D1481))</f>
        <v>4264234.5</v>
      </c>
      <c r="I483">
        <f>WEEKNUM(Слияние1[[#This Row],[Дата]],2)</f>
        <v>20</v>
      </c>
      <c r="J483" s="15">
        <f>Слияние1[[#This Row],[Товарооборот, руб]] / SUM(Слияние1[Товарооборот, руб])</f>
        <v>1.4798112508161173E-4</v>
      </c>
    </row>
    <row r="484" spans="1:10" x14ac:dyDescent="0.3">
      <c r="A484" s="13">
        <v>43963</v>
      </c>
      <c r="B484" t="s">
        <v>12</v>
      </c>
      <c r="C484">
        <v>9328.5</v>
      </c>
      <c r="D484">
        <v>732964.5</v>
      </c>
      <c r="E484">
        <v>10</v>
      </c>
      <c r="F484">
        <v>526</v>
      </c>
      <c r="G484">
        <v>448</v>
      </c>
      <c r="H484" cm="1">
        <f t="array" ref="H484">SUMPRODUCT((I484:I1482=22)*(D484:D1482))</f>
        <v>4264234.5</v>
      </c>
      <c r="I484">
        <f>WEEKNUM(Слияние1[[#This Row],[Дата]],2)</f>
        <v>20</v>
      </c>
      <c r="J484" s="15">
        <f>Слияние1[[#This Row],[Товарооборот, руб]] / SUM(Слияние1[Товарооборот, руб])</f>
        <v>1.4770484520342677E-4</v>
      </c>
    </row>
    <row r="485" spans="1:10" x14ac:dyDescent="0.3">
      <c r="A485" s="13">
        <v>43955</v>
      </c>
      <c r="B485" t="s">
        <v>12</v>
      </c>
      <c r="C485">
        <v>9130.5</v>
      </c>
      <c r="D485">
        <v>728890.5</v>
      </c>
      <c r="E485">
        <v>10</v>
      </c>
      <c r="F485">
        <v>462</v>
      </c>
      <c r="G485">
        <v>396</v>
      </c>
      <c r="H485" cm="1">
        <f t="array" ref="H485">SUMPRODUCT((I485:I1483=22)*(D485:D1483))</f>
        <v>4264234.5</v>
      </c>
      <c r="I485">
        <f>WEEKNUM(Слияние1[[#This Row],[Дата]],2)</f>
        <v>19</v>
      </c>
      <c r="J485" s="15">
        <f>Слияние1[[#This Row],[Товарооборот, руб]] / SUM(Слияние1[Товарооборот, руб])</f>
        <v>1.4688386473389687E-4</v>
      </c>
    </row>
    <row r="486" spans="1:10" x14ac:dyDescent="0.3">
      <c r="A486" s="13">
        <v>43951</v>
      </c>
      <c r="B486" t="s">
        <v>12</v>
      </c>
      <c r="C486">
        <v>8934</v>
      </c>
      <c r="D486">
        <v>716196</v>
      </c>
      <c r="E486">
        <v>10</v>
      </c>
      <c r="F486">
        <v>448</v>
      </c>
      <c r="G486">
        <v>376</v>
      </c>
      <c r="H486" cm="1">
        <f t="array" ref="H486">SUMPRODUCT((I486:I1484=22)*(D486:D1484))</f>
        <v>4264234.5</v>
      </c>
      <c r="I486">
        <f>WEEKNUM(Слияние1[[#This Row],[Дата]],2)</f>
        <v>18</v>
      </c>
      <c r="J486" s="15">
        <f>Слияние1[[#This Row],[Товарооборот, руб]] / SUM(Слияние1[Товарооборот, руб])</f>
        <v>1.44325706518274E-4</v>
      </c>
    </row>
    <row r="487" spans="1:10" x14ac:dyDescent="0.3">
      <c r="A487" s="13">
        <v>43957</v>
      </c>
      <c r="B487" t="s">
        <v>12</v>
      </c>
      <c r="C487">
        <v>9210</v>
      </c>
      <c r="D487">
        <v>696832.5</v>
      </c>
      <c r="E487">
        <v>10</v>
      </c>
      <c r="F487">
        <v>465</v>
      </c>
      <c r="G487">
        <v>390</v>
      </c>
      <c r="H487" cm="1">
        <f t="array" ref="H487">SUMPRODUCT((I487:I1485=22)*(D487:D1485))</f>
        <v>4264234.5</v>
      </c>
      <c r="I487">
        <f>WEEKNUM(Слияние1[[#This Row],[Дата]],2)</f>
        <v>19</v>
      </c>
      <c r="J487" s="15">
        <f>Слияние1[[#This Row],[Товарооборот, руб]] / SUM(Слияние1[Товарооборот, руб])</f>
        <v>1.4042363108338383E-4</v>
      </c>
    </row>
    <row r="488" spans="1:10" x14ac:dyDescent="0.3">
      <c r="A488" s="13">
        <v>43979</v>
      </c>
      <c r="B488" t="s">
        <v>24</v>
      </c>
      <c r="C488">
        <v>8428.5</v>
      </c>
      <c r="D488">
        <v>694669.5</v>
      </c>
      <c r="E488">
        <v>7</v>
      </c>
      <c r="F488">
        <v>420</v>
      </c>
      <c r="G488">
        <v>347</v>
      </c>
      <c r="H488" cm="1">
        <f t="array" ref="H488">SUMPRODUCT((I488:I1486=22)*(D488:D1486))</f>
        <v>4264234.5</v>
      </c>
      <c r="I488">
        <f>WEEKNUM(Слияние1[[#This Row],[Дата]],2)</f>
        <v>22</v>
      </c>
      <c r="J488" s="15">
        <f>Слияние1[[#This Row],[Товарооборот, руб]] / SUM(Слияние1[Товарооборот, руб])</f>
        <v>1.399877497000767E-4</v>
      </c>
    </row>
    <row r="489" spans="1:10" x14ac:dyDescent="0.3">
      <c r="A489" s="13">
        <v>43956</v>
      </c>
      <c r="B489" t="s">
        <v>19</v>
      </c>
      <c r="C489">
        <v>8223</v>
      </c>
      <c r="D489">
        <v>694593</v>
      </c>
      <c r="E489">
        <v>15</v>
      </c>
      <c r="F489">
        <v>455</v>
      </c>
      <c r="G489">
        <v>381</v>
      </c>
      <c r="H489" cm="1">
        <f t="array" ref="H489">SUMPRODUCT((I489:I1487=22)*(D489:D1487))</f>
        <v>3569565</v>
      </c>
      <c r="I489">
        <f>WEEKNUM(Слияние1[[#This Row],[Дата]],2)</f>
        <v>19</v>
      </c>
      <c r="J489" s="15">
        <f>Слияние1[[#This Row],[Товарооборот, руб]] / SUM(Слияние1[Товарооборот, руб])</f>
        <v>1.399723336456047E-4</v>
      </c>
    </row>
    <row r="490" spans="1:10" x14ac:dyDescent="0.3">
      <c r="A490" s="13">
        <v>43978</v>
      </c>
      <c r="B490" t="s">
        <v>24</v>
      </c>
      <c r="C490">
        <v>8362.5</v>
      </c>
      <c r="D490">
        <v>687684</v>
      </c>
      <c r="E490">
        <v>7</v>
      </c>
      <c r="F490">
        <v>409</v>
      </c>
      <c r="G490">
        <v>329</v>
      </c>
      <c r="H490" cm="1">
        <f t="array" ref="H490">SUMPRODUCT((I490:I1488=22)*(D490:D1488))</f>
        <v>3569565</v>
      </c>
      <c r="I490">
        <f>WEEKNUM(Слияние1[[#This Row],[Дата]],2)</f>
        <v>22</v>
      </c>
      <c r="J490" s="15">
        <f>Слияние1[[#This Row],[Товарооборот, руб]] / SUM(Слияние1[Товарооборот, руб])</f>
        <v>1.385800523338761E-4</v>
      </c>
    </row>
    <row r="491" spans="1:10" x14ac:dyDescent="0.3">
      <c r="A491" s="13">
        <v>43954</v>
      </c>
      <c r="B491" t="s">
        <v>19</v>
      </c>
      <c r="C491">
        <v>8127</v>
      </c>
      <c r="D491">
        <v>665302.5</v>
      </c>
      <c r="E491">
        <v>15</v>
      </c>
      <c r="F491">
        <v>455</v>
      </c>
      <c r="G491">
        <v>384</v>
      </c>
      <c r="H491" cm="1">
        <f t="array" ref="H491">SUMPRODUCT((I491:I1489=22)*(D491:D1489))</f>
        <v>2881881</v>
      </c>
      <c r="I491">
        <f>WEEKNUM(Слияние1[[#This Row],[Дата]],2)</f>
        <v>18</v>
      </c>
      <c r="J491" s="15">
        <f>Слияние1[[#This Row],[Товарооборот, руб]] / SUM(Слияние1[Товарооборот, руб])</f>
        <v>1.3406979843628557E-4</v>
      </c>
    </row>
    <row r="492" spans="1:10" x14ac:dyDescent="0.3">
      <c r="A492" s="13">
        <v>43980</v>
      </c>
      <c r="B492" t="s">
        <v>9</v>
      </c>
      <c r="C492">
        <v>8350.5</v>
      </c>
      <c r="D492">
        <v>651237</v>
      </c>
      <c r="E492">
        <v>15</v>
      </c>
      <c r="F492">
        <v>400</v>
      </c>
      <c r="G492">
        <v>329</v>
      </c>
      <c r="H492" cm="1">
        <f t="array" ref="H492">SUMPRODUCT((I492:I1490=22)*(D492:D1490))</f>
        <v>2881881</v>
      </c>
      <c r="I492">
        <f>WEEKNUM(Слияние1[[#This Row],[Дата]],2)</f>
        <v>22</v>
      </c>
      <c r="J492" s="15">
        <f>Слияние1[[#This Row],[Товарооборот, руб]] / SUM(Слияние1[Товарооборот, руб])</f>
        <v>1.3123536034247775E-4</v>
      </c>
    </row>
    <row r="493" spans="1:10" x14ac:dyDescent="0.3">
      <c r="A493" s="13">
        <v>43979</v>
      </c>
      <c r="B493" t="s">
        <v>9</v>
      </c>
      <c r="C493">
        <v>8536.5</v>
      </c>
      <c r="D493">
        <v>643944</v>
      </c>
      <c r="E493">
        <v>15</v>
      </c>
      <c r="F493">
        <v>464</v>
      </c>
      <c r="G493">
        <v>390</v>
      </c>
      <c r="H493" cm="1">
        <f t="array" ref="H493">SUMPRODUCT((I493:I1491=22)*(D493:D1491))</f>
        <v>2230644</v>
      </c>
      <c r="I493">
        <f>WEEKNUM(Слияние1[[#This Row],[Дата]],2)</f>
        <v>22</v>
      </c>
      <c r="J493" s="15">
        <f>Слияние1[[#This Row],[Товарооборот, руб]] / SUM(Слияние1[Товарооборот, руб])</f>
        <v>1.2976569648281118E-4</v>
      </c>
    </row>
    <row r="494" spans="1:10" x14ac:dyDescent="0.3">
      <c r="A494" s="13">
        <v>43954</v>
      </c>
      <c r="B494" t="s">
        <v>12</v>
      </c>
      <c r="C494">
        <v>8185.5</v>
      </c>
      <c r="D494">
        <v>637881</v>
      </c>
      <c r="E494">
        <v>10</v>
      </c>
      <c r="F494">
        <v>402</v>
      </c>
      <c r="G494">
        <v>333</v>
      </c>
      <c r="H494" cm="1">
        <f t="array" ref="H494">SUMPRODUCT((I494:I1492=22)*(D494:D1492))</f>
        <v>1586700</v>
      </c>
      <c r="I494">
        <f>WEEKNUM(Слияние1[[#This Row],[Дата]],2)</f>
        <v>18</v>
      </c>
      <c r="J494" s="15">
        <f>Слияние1[[#This Row],[Товарооборот, руб]] / SUM(Слияние1[Товарооборот, руб])</f>
        <v>1.2854389859700855E-4</v>
      </c>
    </row>
    <row r="495" spans="1:10" x14ac:dyDescent="0.3">
      <c r="A495" s="13">
        <v>43983</v>
      </c>
      <c r="B495" t="s">
        <v>9</v>
      </c>
      <c r="C495">
        <v>7816.5</v>
      </c>
      <c r="D495">
        <v>636345</v>
      </c>
      <c r="E495">
        <v>15</v>
      </c>
      <c r="F495">
        <v>453</v>
      </c>
      <c r="G495">
        <v>370</v>
      </c>
      <c r="H495" cm="1">
        <f t="array" ref="H495">SUMPRODUCT((I495:I1493=22)*(D495:D1493))</f>
        <v>1586700</v>
      </c>
      <c r="I495">
        <f>WEEKNUM(Слияние1[[#This Row],[Дата]],2)</f>
        <v>23</v>
      </c>
      <c r="J495" s="15">
        <f>Слияние1[[#This Row],[Товарооборот, руб]] / SUM(Слияние1[Товарооборот, руб])</f>
        <v>1.2823436840525649E-4</v>
      </c>
    </row>
    <row r="496" spans="1:10" x14ac:dyDescent="0.3">
      <c r="A496" s="13">
        <v>43982</v>
      </c>
      <c r="B496" t="s">
        <v>9</v>
      </c>
      <c r="C496">
        <v>7944</v>
      </c>
      <c r="D496">
        <v>623971.5</v>
      </c>
      <c r="E496">
        <v>15</v>
      </c>
      <c r="F496">
        <v>441</v>
      </c>
      <c r="G496">
        <v>368</v>
      </c>
      <c r="H496" cm="1">
        <f t="array" ref="H496">SUMPRODUCT((I496:I1494=22)*(D496:D1494))</f>
        <v>1586700</v>
      </c>
      <c r="I496">
        <f>WEEKNUM(Слияние1[[#This Row],[Дата]],2)</f>
        <v>22</v>
      </c>
      <c r="J496" s="15">
        <f>Слияние1[[#This Row],[Товарооборот, руб]] / SUM(Слияние1[Товарооборот, руб])</f>
        <v>1.2574089716330055E-4</v>
      </c>
    </row>
    <row r="497" spans="1:10" x14ac:dyDescent="0.3">
      <c r="A497" s="13">
        <v>43953</v>
      </c>
      <c r="B497" t="s">
        <v>12</v>
      </c>
      <c r="C497">
        <v>7866</v>
      </c>
      <c r="D497">
        <v>617881.5</v>
      </c>
      <c r="E497">
        <v>10</v>
      </c>
      <c r="F497">
        <v>416</v>
      </c>
      <c r="G497">
        <v>341</v>
      </c>
      <c r="H497" cm="1">
        <f t="array" ref="H497">SUMPRODUCT((I497:I1495=22)*(D497:D1495))</f>
        <v>962728.5</v>
      </c>
      <c r="I497">
        <f>WEEKNUM(Слияние1[[#This Row],[Дата]],2)</f>
        <v>18</v>
      </c>
      <c r="J497" s="15">
        <f>Слияние1[[#This Row],[Товарооборот, руб]] / SUM(Слияние1[Товарооборот, руб])</f>
        <v>1.2451365831709605E-4</v>
      </c>
    </row>
    <row r="498" spans="1:10" x14ac:dyDescent="0.3">
      <c r="A498" s="13">
        <v>43955</v>
      </c>
      <c r="B498" t="s">
        <v>19</v>
      </c>
      <c r="C498">
        <v>7087.5</v>
      </c>
      <c r="D498">
        <v>610855.5</v>
      </c>
      <c r="E498">
        <v>15</v>
      </c>
      <c r="F498">
        <v>390</v>
      </c>
      <c r="G498">
        <v>315</v>
      </c>
      <c r="H498" cm="1">
        <f t="array" ref="H498">SUMPRODUCT((I498:I1496=22)*(D498:D1496))</f>
        <v>962728.5</v>
      </c>
      <c r="I498">
        <f>WEEKNUM(Слияние1[[#This Row],[Дата]],2)</f>
        <v>19</v>
      </c>
      <c r="J498" s="15">
        <f>Слияние1[[#This Row],[Товарооборот, руб]] / SUM(Слияние1[Товарооборот, руб])</f>
        <v>1.230977995102926E-4</v>
      </c>
    </row>
    <row r="499" spans="1:10" x14ac:dyDescent="0.3">
      <c r="A499" s="13">
        <v>43952</v>
      </c>
      <c r="B499" t="s">
        <v>19</v>
      </c>
      <c r="C499">
        <v>5446.5</v>
      </c>
      <c r="D499">
        <v>505572</v>
      </c>
      <c r="E499">
        <v>15</v>
      </c>
      <c r="F499">
        <v>294</v>
      </c>
      <c r="G499">
        <v>225</v>
      </c>
      <c r="H499" cm="1">
        <f t="array" ref="H499">SUMPRODUCT((I499:I1497=22)*(D499:D1497))</f>
        <v>962728.5</v>
      </c>
      <c r="I499">
        <f>WEEKNUM(Слияние1[[#This Row],[Дата]],2)</f>
        <v>18</v>
      </c>
      <c r="J499" s="15">
        <f>Слияние1[[#This Row],[Товарооборот, руб]] / SUM(Слияние1[Товарооборот, руб])</f>
        <v>1.0188137897427076E-4</v>
      </c>
    </row>
    <row r="500" spans="1:10" x14ac:dyDescent="0.3">
      <c r="A500" s="13">
        <v>43982</v>
      </c>
      <c r="B500" t="s">
        <v>25</v>
      </c>
      <c r="C500">
        <v>6409.5</v>
      </c>
      <c r="D500">
        <v>493893</v>
      </c>
      <c r="E500">
        <v>9</v>
      </c>
      <c r="F500">
        <v>345</v>
      </c>
      <c r="G500">
        <v>255</v>
      </c>
      <c r="H500" cm="1">
        <f t="array" ref="H500">SUMPRODUCT((I500:I1498=22)*(D500:D1498))</f>
        <v>962728.5</v>
      </c>
      <c r="I500">
        <f>WEEKNUM(Слияние1[[#This Row],[Дата]],2)</f>
        <v>22</v>
      </c>
      <c r="J500" s="15">
        <f>Слияние1[[#This Row],[Товарооборот, руб]] / SUM(Слияние1[Товарооборот, руб])</f>
        <v>9.9527861324874621E-5</v>
      </c>
    </row>
    <row r="501" spans="1:10" x14ac:dyDescent="0.3">
      <c r="A501" s="13">
        <v>43982</v>
      </c>
      <c r="B501" t="s">
        <v>26</v>
      </c>
      <c r="C501">
        <v>5127</v>
      </c>
      <c r="D501">
        <v>468835.5</v>
      </c>
      <c r="E501">
        <v>6</v>
      </c>
      <c r="F501">
        <v>261</v>
      </c>
      <c r="G501">
        <v>188</v>
      </c>
      <c r="H501" cm="1">
        <f t="array" ref="H501">SUMPRODUCT((I501:I1499=22)*(D501:D1499))</f>
        <v>468835.5</v>
      </c>
      <c r="I501">
        <f>WEEKNUM(Слияние1[[#This Row],[Дата]],2)</f>
        <v>22</v>
      </c>
      <c r="J501" s="15">
        <f>Слияние1[[#This Row],[Товарооборот, руб]] / SUM(Слияние1[Товарооборот, руб])</f>
        <v>9.4478347796341015E-5</v>
      </c>
    </row>
    <row r="502" spans="1:10" x14ac:dyDescent="0.3">
      <c r="A502" s="13">
        <v>43953</v>
      </c>
      <c r="B502" t="s">
        <v>19</v>
      </c>
      <c r="C502">
        <v>4624.5</v>
      </c>
      <c r="D502">
        <v>433243.5</v>
      </c>
      <c r="E502">
        <v>15</v>
      </c>
      <c r="F502">
        <v>274</v>
      </c>
      <c r="G502">
        <v>203</v>
      </c>
      <c r="H502" cm="1">
        <f t="array" ref="H502">SUMPRODUCT((I502:I1500=22)*(D502:D1500))</f>
        <v>0</v>
      </c>
      <c r="I502">
        <f>WEEKNUM(Слияние1[[#This Row],[Дата]],2)</f>
        <v>18</v>
      </c>
      <c r="J502" s="15">
        <f>Слияние1[[#This Row],[Товарооборот, руб]] / SUM(Слияние1[Товарооборот, руб])</f>
        <v>8.7305952884335908E-5</v>
      </c>
    </row>
    <row r="503" spans="1:10" x14ac:dyDescent="0.3">
      <c r="A503" s="13">
        <v>43983</v>
      </c>
      <c r="B503" t="s">
        <v>26</v>
      </c>
      <c r="C503">
        <v>4408.5</v>
      </c>
      <c r="D503">
        <v>410892</v>
      </c>
      <c r="E503">
        <v>6</v>
      </c>
      <c r="F503">
        <v>237</v>
      </c>
      <c r="G503">
        <v>175</v>
      </c>
      <c r="H503" cm="1">
        <f t="array" ref="H503">SUMPRODUCT((I503:I1501=22)*(D503:D1501))</f>
        <v>0</v>
      </c>
      <c r="I503">
        <f>WEEKNUM(Слияние1[[#This Row],[Дата]],2)</f>
        <v>23</v>
      </c>
      <c r="J503" s="15">
        <f>Слияние1[[#This Row],[Товарооборот, руб]] / SUM(Слияние1[Товарооборот, руб])</f>
        <v>8.2801744498303036E-5</v>
      </c>
    </row>
    <row r="504" spans="1:10" x14ac:dyDescent="0.3">
      <c r="A504" s="13">
        <v>43951</v>
      </c>
      <c r="B504" t="s">
        <v>19</v>
      </c>
      <c r="C504">
        <v>4285.5</v>
      </c>
      <c r="D504">
        <v>404691</v>
      </c>
      <c r="E504">
        <v>15</v>
      </c>
      <c r="F504">
        <v>262</v>
      </c>
      <c r="G504">
        <v>195</v>
      </c>
      <c r="H504" cm="1">
        <f t="array" ref="H504">SUMPRODUCT((I504:I1502=22)*(D504:D1502))</f>
        <v>0</v>
      </c>
      <c r="I504">
        <f>WEEKNUM(Слияние1[[#This Row],[Дата]],2)</f>
        <v>18</v>
      </c>
      <c r="J504" s="15">
        <f>Слияние1[[#This Row],[Товарооборот, руб]] / SUM(Слияние1[Товарооборот, руб])</f>
        <v>8.1552137259335186E-5</v>
      </c>
    </row>
    <row r="505" spans="1:10" x14ac:dyDescent="0.3">
      <c r="A505" s="13">
        <v>43983</v>
      </c>
      <c r="B505" t="s">
        <v>25</v>
      </c>
      <c r="C505">
        <v>5166</v>
      </c>
      <c r="D505">
        <v>389013</v>
      </c>
      <c r="E505">
        <v>9</v>
      </c>
      <c r="F505">
        <v>294</v>
      </c>
      <c r="G505">
        <v>224</v>
      </c>
      <c r="H505" cm="1">
        <f t="array" ref="H505">SUMPRODUCT((I505:I1503=22)*(D505:D1503))</f>
        <v>0</v>
      </c>
      <c r="I505">
        <f>WEEKNUM(Слияние1[[#This Row],[Дата]],2)</f>
        <v>23</v>
      </c>
      <c r="J505" s="15">
        <f>Слияние1[[#This Row],[Товарооборот, руб]] / SUM(Слияние1[Товарооборот, руб])</f>
        <v>7.839275291930327E-5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954F-42D4-47ED-9857-125B2E76F5AE}">
  <dimension ref="A3:C23"/>
  <sheetViews>
    <sheetView workbookViewId="0">
      <selection activeCell="A23" sqref="A23:C23"/>
    </sheetView>
  </sheetViews>
  <sheetFormatPr defaultRowHeight="14.4" x14ac:dyDescent="0.3"/>
  <cols>
    <col min="1" max="1" width="23.5546875" bestFit="1" customWidth="1"/>
    <col min="2" max="2" width="30.6640625" bestFit="1" customWidth="1"/>
    <col min="3" max="3" width="34.5546875" bestFit="1" customWidth="1"/>
  </cols>
  <sheetData>
    <row r="3" spans="1:3" x14ac:dyDescent="0.3">
      <c r="A3" s="18" t="s">
        <v>31</v>
      </c>
      <c r="B3" s="18" t="s">
        <v>29</v>
      </c>
      <c r="C3" s="18" t="s">
        <v>30</v>
      </c>
    </row>
    <row r="4" spans="1:3" x14ac:dyDescent="0.3">
      <c r="A4" s="16">
        <v>23</v>
      </c>
      <c r="B4">
        <v>136032376.68134999</v>
      </c>
      <c r="C4">
        <v>2581239295.14885</v>
      </c>
    </row>
    <row r="5" spans="1:3" x14ac:dyDescent="0.3">
      <c r="A5" s="17" t="s">
        <v>15</v>
      </c>
      <c r="B5">
        <v>37257840.18135</v>
      </c>
      <c r="C5">
        <v>758614747.14884996</v>
      </c>
    </row>
    <row r="6" spans="1:3" x14ac:dyDescent="0.3">
      <c r="A6" s="17" t="s">
        <v>14</v>
      </c>
      <c r="B6">
        <v>27770092.5</v>
      </c>
      <c r="C6">
        <v>571398444</v>
      </c>
    </row>
    <row r="7" spans="1:3" x14ac:dyDescent="0.3">
      <c r="A7" s="17" t="s">
        <v>21</v>
      </c>
      <c r="B7">
        <v>19465372.5</v>
      </c>
      <c r="C7">
        <v>234924303</v>
      </c>
    </row>
    <row r="8" spans="1:3" x14ac:dyDescent="0.3">
      <c r="A8" s="17" t="s">
        <v>22</v>
      </c>
      <c r="B8">
        <v>18914194.5</v>
      </c>
      <c r="C8">
        <v>234924303</v>
      </c>
    </row>
    <row r="9" spans="1:3" x14ac:dyDescent="0.3">
      <c r="A9" s="17" t="s">
        <v>11</v>
      </c>
      <c r="B9">
        <v>6829921.5</v>
      </c>
      <c r="C9">
        <v>194533051.5</v>
      </c>
    </row>
    <row r="10" spans="1:3" x14ac:dyDescent="0.3">
      <c r="A10" s="17" t="s">
        <v>16</v>
      </c>
      <c r="B10">
        <v>5800290</v>
      </c>
      <c r="C10">
        <v>143414673</v>
      </c>
    </row>
    <row r="11" spans="1:3" x14ac:dyDescent="0.3">
      <c r="A11" s="17" t="s">
        <v>17</v>
      </c>
      <c r="B11">
        <v>3865251</v>
      </c>
      <c r="C11">
        <v>117335367</v>
      </c>
    </row>
    <row r="12" spans="1:3" x14ac:dyDescent="0.3">
      <c r="A12" s="17" t="s">
        <v>13</v>
      </c>
      <c r="B12">
        <v>3013512</v>
      </c>
      <c r="C12">
        <v>86520934.5</v>
      </c>
    </row>
    <row r="13" spans="1:3" x14ac:dyDescent="0.3">
      <c r="A13" s="17" t="s">
        <v>10</v>
      </c>
      <c r="B13">
        <v>2945035.5</v>
      </c>
      <c r="C13">
        <v>74549058</v>
      </c>
    </row>
    <row r="14" spans="1:3" x14ac:dyDescent="0.3">
      <c r="A14" s="17" t="s">
        <v>20</v>
      </c>
      <c r="B14">
        <v>2538967.5</v>
      </c>
      <c r="C14">
        <v>54815736</v>
      </c>
    </row>
    <row r="15" spans="1:3" x14ac:dyDescent="0.3">
      <c r="A15" s="17" t="s">
        <v>19</v>
      </c>
      <c r="B15">
        <v>1565632.5</v>
      </c>
      <c r="C15">
        <v>36634204.5</v>
      </c>
    </row>
    <row r="16" spans="1:3" x14ac:dyDescent="0.3">
      <c r="A16" s="17" t="s">
        <v>18</v>
      </c>
      <c r="B16">
        <v>1526608.5</v>
      </c>
      <c r="C16">
        <v>35085184.5</v>
      </c>
    </row>
    <row r="17" spans="1:3" x14ac:dyDescent="0.3">
      <c r="A17" s="17" t="s">
        <v>23</v>
      </c>
      <c r="B17">
        <v>1293219</v>
      </c>
      <c r="C17">
        <v>22337454</v>
      </c>
    </row>
    <row r="18" spans="1:3" x14ac:dyDescent="0.3">
      <c r="A18" s="17" t="s">
        <v>12</v>
      </c>
      <c r="B18">
        <v>1007742</v>
      </c>
      <c r="C18">
        <v>9513799.5</v>
      </c>
    </row>
    <row r="19" spans="1:3" x14ac:dyDescent="0.3">
      <c r="A19" s="17" t="s">
        <v>24</v>
      </c>
      <c r="B19">
        <v>802447.5</v>
      </c>
      <c r="C19">
        <v>5051335.5</v>
      </c>
    </row>
    <row r="20" spans="1:3" x14ac:dyDescent="0.3">
      <c r="A20" s="17" t="s">
        <v>9</v>
      </c>
      <c r="B20">
        <v>636345</v>
      </c>
      <c r="C20">
        <v>1586700</v>
      </c>
    </row>
    <row r="21" spans="1:3" x14ac:dyDescent="0.3">
      <c r="A21" s="17" t="s">
        <v>26</v>
      </c>
      <c r="B21">
        <v>410892</v>
      </c>
      <c r="C21">
        <v>0</v>
      </c>
    </row>
    <row r="22" spans="1:3" x14ac:dyDescent="0.3">
      <c r="A22" s="17" t="s">
        <v>25</v>
      </c>
      <c r="B22">
        <v>389013</v>
      </c>
      <c r="C22">
        <v>0</v>
      </c>
    </row>
    <row r="23" spans="1:3" x14ac:dyDescent="0.3">
      <c r="A23" s="19" t="s">
        <v>28</v>
      </c>
      <c r="B23" s="18">
        <v>136032376.68134999</v>
      </c>
      <c r="C23" s="18">
        <v>2581239295.14885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7AA-1F66-445A-BBFE-9C937718F5DC}">
  <dimension ref="A3:C10"/>
  <sheetViews>
    <sheetView tabSelected="1" workbookViewId="0">
      <selection activeCell="E12" sqref="E12"/>
    </sheetView>
  </sheetViews>
  <sheetFormatPr defaultRowHeight="14.4" x14ac:dyDescent="0.3"/>
  <cols>
    <col min="1" max="1" width="23.44140625" bestFit="1" customWidth="1"/>
    <col min="2" max="2" width="30.6640625" bestFit="1" customWidth="1"/>
    <col min="3" max="3" width="34.5546875" bestFit="1" customWidth="1"/>
  </cols>
  <sheetData>
    <row r="3" spans="1:3" x14ac:dyDescent="0.3">
      <c r="A3" s="18" t="s">
        <v>32</v>
      </c>
      <c r="B3" s="18" t="s">
        <v>29</v>
      </c>
      <c r="C3" s="18" t="s">
        <v>30</v>
      </c>
    </row>
    <row r="4" spans="1:3" x14ac:dyDescent="0.3">
      <c r="A4" s="16">
        <v>18</v>
      </c>
      <c r="B4">
        <v>836803032</v>
      </c>
      <c r="C4">
        <v>17348737521.742348</v>
      </c>
    </row>
    <row r="5" spans="1:3" x14ac:dyDescent="0.3">
      <c r="A5" s="16">
        <v>19</v>
      </c>
      <c r="B5">
        <v>983915409.85664999</v>
      </c>
      <c r="C5">
        <v>20181794596.891197</v>
      </c>
    </row>
    <row r="6" spans="1:3" x14ac:dyDescent="0.3">
      <c r="A6" s="16">
        <v>20</v>
      </c>
      <c r="B6">
        <v>947263006.72395003</v>
      </c>
      <c r="C6">
        <v>18819717282.847347</v>
      </c>
    </row>
    <row r="7" spans="1:3" x14ac:dyDescent="0.3">
      <c r="A7" s="16">
        <v>21</v>
      </c>
      <c r="B7">
        <v>1002691883.0466</v>
      </c>
      <c r="C7">
        <v>20655262294.891197</v>
      </c>
    </row>
    <row r="8" spans="1:3" x14ac:dyDescent="0.3">
      <c r="A8" s="16">
        <v>22</v>
      </c>
      <c r="B8">
        <v>1055653508.75385</v>
      </c>
      <c r="C8">
        <v>22478258450.500046</v>
      </c>
    </row>
    <row r="9" spans="1:3" x14ac:dyDescent="0.3">
      <c r="A9" s="16">
        <v>23</v>
      </c>
      <c r="B9">
        <v>136032376.68134999</v>
      </c>
      <c r="C9">
        <v>2581239295.14885</v>
      </c>
    </row>
    <row r="10" spans="1:3" x14ac:dyDescent="0.3">
      <c r="A10" s="19" t="s">
        <v>28</v>
      </c>
      <c r="B10" s="18">
        <v>4962359217.0623999</v>
      </c>
      <c r="C10" s="18">
        <v>102065009442.021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F98F8-09C7-490C-B784-AB3BF6596C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Таблица1</vt:lpstr>
      <vt:lpstr>Лист2</vt:lpstr>
      <vt:lpstr>Таблица2</vt:lpstr>
      <vt:lpstr>Слияние1</vt:lpstr>
      <vt:lpstr>Неделя и Территория</vt:lpstr>
      <vt:lpstr>Понедельная динамика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nurdaulet beibitov</cp:lastModifiedBy>
  <dcterms:created xsi:type="dcterms:W3CDTF">2021-09-13T10:17:58Z</dcterms:created>
  <dcterms:modified xsi:type="dcterms:W3CDTF">2026-03-25T20:45:29Z</dcterms:modified>
</cp:coreProperties>
</file>